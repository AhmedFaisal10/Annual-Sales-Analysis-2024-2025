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فارم جرين\اسماء\"/>
    </mc:Choice>
  </mc:AlternateContent>
  <xr:revisionPtr revIDLastSave="0" documentId="13_ncr:1_{5D239F63-D5AA-45E3-A2E5-C179C6587BE7}" xr6:coauthVersionLast="47" xr6:coauthVersionMax="47" xr10:uidLastSave="{00000000-0000-0000-0000-000000000000}"/>
  <bookViews>
    <workbookView xWindow="-108" yWindow="-108" windowWidth="23256" windowHeight="12576" xr2:uid="{00000000-000D-0000-FFFF-FFFF00000000}"/>
  </bookViews>
  <sheets>
    <sheet name="PivotTable" sheetId="2" r:id="rId1"/>
    <sheet name="FarmGreen Sales History" sheetId="1" r:id="rId2"/>
  </sheets>
  <definedNames>
    <definedName name="_xlnm._FilterDatabase" localSheetId="1" hidden="1">'FarmGreen Sales History'!$A$1:$A$1451</definedName>
    <definedName name="Slicer_customer_type">#N/A</definedName>
    <definedName name="Slicer_order_date">#N/A</definedName>
    <definedName name="Slicer_product_name">#N/A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440" i="1" l="1"/>
  <c r="D1438" i="1"/>
  <c r="D1431" i="1"/>
  <c r="D1427" i="1"/>
  <c r="D1422" i="1"/>
  <c r="D1418" i="1"/>
  <c r="D1412" i="1"/>
  <c r="D1408" i="1"/>
  <c r="D1393" i="1"/>
  <c r="D1309" i="1"/>
  <c r="D1450" i="1"/>
  <c r="D1449" i="1"/>
  <c r="D1250" i="1" l="1"/>
  <c r="I9" i="1"/>
  <c r="I431" i="1"/>
  <c r="I120" i="1"/>
  <c r="I335" i="1"/>
  <c r="I376" i="1"/>
  <c r="I439" i="1"/>
  <c r="I348" i="1" l="1"/>
  <c r="I384" i="1" l="1"/>
  <c r="I834" i="1"/>
  <c r="I879" i="1"/>
  <c r="D1351" i="1"/>
  <c r="I1125" i="1"/>
  <c r="I238" i="1"/>
  <c r="I53" i="1"/>
  <c r="I290" i="1"/>
  <c r="I15" i="1"/>
  <c r="I93" i="1"/>
  <c r="I39" i="1"/>
  <c r="I31" i="1"/>
  <c r="D1432" i="1"/>
  <c r="I73" i="1"/>
  <c r="I1034" i="1"/>
  <c r="I318" i="1"/>
  <c r="I637" i="1"/>
  <c r="I75" i="1"/>
  <c r="I74" i="1"/>
  <c r="D1007" i="1" l="1"/>
  <c r="D1008" i="1"/>
  <c r="D1009" i="1"/>
  <c r="D1010" i="1"/>
  <c r="I57" i="1" l="1"/>
  <c r="I565" i="1"/>
  <c r="I52" i="1"/>
  <c r="I49" i="1"/>
  <c r="I19" i="1"/>
  <c r="I261" i="1"/>
  <c r="I91" i="1" l="1"/>
  <c r="J324" i="1" l="1"/>
  <c r="J55" i="1"/>
  <c r="J42" i="1"/>
  <c r="D1304" i="1" l="1"/>
  <c r="D939" i="1"/>
  <c r="D945" i="1"/>
  <c r="D1451" i="1" l="1"/>
  <c r="D1448" i="1"/>
  <c r="D1447" i="1"/>
  <c r="D1446" i="1"/>
  <c r="D1445" i="1"/>
  <c r="D1444" i="1"/>
  <c r="D1443" i="1"/>
  <c r="D1442" i="1"/>
  <c r="D1441" i="1"/>
  <c r="D1439" i="1"/>
  <c r="D1437" i="1"/>
  <c r="D1436" i="1"/>
  <c r="D1435" i="1"/>
  <c r="D1434" i="1"/>
  <c r="D1433" i="1"/>
  <c r="D1430" i="1"/>
  <c r="D1429" i="1"/>
  <c r="D1428" i="1"/>
  <c r="D1426" i="1"/>
  <c r="D1425" i="1"/>
  <c r="D1424" i="1"/>
  <c r="D1423" i="1"/>
  <c r="D1421" i="1"/>
  <c r="D1420" i="1"/>
  <c r="D1419" i="1"/>
  <c r="D1417" i="1"/>
  <c r="D1416" i="1"/>
  <c r="D1415" i="1"/>
  <c r="D1414" i="1"/>
  <c r="D1413" i="1"/>
  <c r="D1411" i="1"/>
  <c r="D1410" i="1"/>
  <c r="D1409" i="1"/>
  <c r="D1407" i="1"/>
  <c r="D1406" i="1"/>
  <c r="D1405" i="1"/>
  <c r="D1404" i="1"/>
  <c r="D1403" i="1"/>
  <c r="D1402" i="1"/>
  <c r="D1401" i="1"/>
  <c r="D1400" i="1"/>
  <c r="D1399" i="1"/>
  <c r="D1398" i="1"/>
  <c r="D1397" i="1"/>
  <c r="D1396" i="1"/>
  <c r="D1395" i="1"/>
  <c r="D1394"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8" i="1"/>
  <c r="D1307" i="1"/>
  <c r="D1306" i="1"/>
  <c r="D1305"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4" i="1"/>
  <c r="D943" i="1"/>
  <c r="D942" i="1"/>
  <c r="D941" i="1"/>
  <c r="D940"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2" i="1"/>
</calcChain>
</file>

<file path=xl/sharedStrings.xml><?xml version="1.0" encoding="utf-8"?>
<sst xmlns="http://schemas.openxmlformats.org/spreadsheetml/2006/main" count="3369" uniqueCount="237">
  <si>
    <t>product_name</t>
  </si>
  <si>
    <t>quantity</t>
  </si>
  <si>
    <t>unit_price</t>
  </si>
  <si>
    <t>total_price</t>
  </si>
  <si>
    <t>notes</t>
  </si>
  <si>
    <t>order_date</t>
  </si>
  <si>
    <t xml:space="preserve">alpha chem </t>
  </si>
  <si>
    <t xml:space="preserve">محل </t>
  </si>
  <si>
    <t>lambada 250 5%</t>
  </si>
  <si>
    <t>vita max</t>
  </si>
  <si>
    <t>ormactin 100</t>
  </si>
  <si>
    <t xml:space="preserve">rat killer </t>
  </si>
  <si>
    <t xml:space="preserve">chloro 250 </t>
  </si>
  <si>
    <t xml:space="preserve">ثيوفيت </t>
  </si>
  <si>
    <t xml:space="preserve">حبوب قمح </t>
  </si>
  <si>
    <t xml:space="preserve">supercaid </t>
  </si>
  <si>
    <t xml:space="preserve">ormactin 250 </t>
  </si>
  <si>
    <t>آجل</t>
  </si>
  <si>
    <t>twics</t>
  </si>
  <si>
    <t>الحج خميس</t>
  </si>
  <si>
    <t>volvi</t>
  </si>
  <si>
    <t>podim</t>
  </si>
  <si>
    <t xml:space="preserve">strike </t>
  </si>
  <si>
    <t>orsal 5</t>
  </si>
  <si>
    <t xml:space="preserve">orsal 20 </t>
  </si>
  <si>
    <t>rich phos</t>
  </si>
  <si>
    <t>dimalin (120)</t>
  </si>
  <si>
    <t xml:space="preserve">iso max </t>
  </si>
  <si>
    <t xml:space="preserve">amino rich L </t>
  </si>
  <si>
    <t xml:space="preserve">fort root </t>
  </si>
  <si>
    <t>amino grow</t>
  </si>
  <si>
    <t>m4</t>
  </si>
  <si>
    <t xml:space="preserve">liroclim </t>
  </si>
  <si>
    <t xml:space="preserve">max fert </t>
  </si>
  <si>
    <t>nitro star</t>
  </si>
  <si>
    <t>clio super</t>
  </si>
  <si>
    <t xml:space="preserve">lofex </t>
  </si>
  <si>
    <t>dimalin (40)</t>
  </si>
  <si>
    <t>الحج وليد</t>
  </si>
  <si>
    <t xml:space="preserve">acetamore </t>
  </si>
  <si>
    <t>chloro 500</t>
  </si>
  <si>
    <t xml:space="preserve">overmil </t>
  </si>
  <si>
    <t xml:space="preserve">proclim </t>
  </si>
  <si>
    <t xml:space="preserve">lambada 10% </t>
  </si>
  <si>
    <t xml:space="preserve">هاي تك كوسا </t>
  </si>
  <si>
    <t xml:space="preserve">soap </t>
  </si>
  <si>
    <t xml:space="preserve">ziglar </t>
  </si>
  <si>
    <t>gaint r</t>
  </si>
  <si>
    <t xml:space="preserve">Gesaprim </t>
  </si>
  <si>
    <t xml:space="preserve">مرتجع </t>
  </si>
  <si>
    <t>insects</t>
  </si>
  <si>
    <t xml:space="preserve">orcal </t>
  </si>
  <si>
    <t xml:space="preserve">الحج خالد زبالة </t>
  </si>
  <si>
    <t>caNo3</t>
  </si>
  <si>
    <t>fibro max</t>
  </si>
  <si>
    <t xml:space="preserve">حمض الفوسفوريك </t>
  </si>
  <si>
    <t xml:space="preserve">imida </t>
  </si>
  <si>
    <t xml:space="preserve">rozilex </t>
  </si>
  <si>
    <t>lambada 500 5%</t>
  </si>
  <si>
    <t xml:space="preserve">بنجر كس </t>
  </si>
  <si>
    <t>مزرعة الطماطم</t>
  </si>
  <si>
    <t xml:space="preserve">فيرت فلاور </t>
  </si>
  <si>
    <t xml:space="preserve">محمد هاشم </t>
  </si>
  <si>
    <t>mgNo3</t>
  </si>
  <si>
    <t xml:space="preserve">فوليار </t>
  </si>
  <si>
    <t xml:space="preserve">اوكتان </t>
  </si>
  <si>
    <t xml:space="preserve">زيت  نباتي </t>
  </si>
  <si>
    <t>اميدور</t>
  </si>
  <si>
    <t xml:space="preserve">تفراس </t>
  </si>
  <si>
    <t xml:space="preserve">ماجيك سترات </t>
  </si>
  <si>
    <t xml:space="preserve">فلورا </t>
  </si>
  <si>
    <t>amino rich 500</t>
  </si>
  <si>
    <t xml:space="preserve">cyto mg </t>
  </si>
  <si>
    <t xml:space="preserve">هامر </t>
  </si>
  <si>
    <t>tedron (1kg)</t>
  </si>
  <si>
    <t xml:space="preserve">فيتا سيت </t>
  </si>
  <si>
    <t>فوستيل بلس</t>
  </si>
  <si>
    <t>Vector</t>
  </si>
  <si>
    <t>CaNo3 yara</t>
  </si>
  <si>
    <t xml:space="preserve">ارض الحرجاوية </t>
  </si>
  <si>
    <t>Vertcan</t>
  </si>
  <si>
    <t xml:space="preserve">high bloom </t>
  </si>
  <si>
    <t xml:space="preserve">copprim </t>
  </si>
  <si>
    <t>fure anora (250)</t>
  </si>
  <si>
    <t>fure anora (500)</t>
  </si>
  <si>
    <t>pomo flor (250)</t>
  </si>
  <si>
    <t>pomo flor (500)</t>
  </si>
  <si>
    <t>power size (250)</t>
  </si>
  <si>
    <t>power size (500)</t>
  </si>
  <si>
    <t>stro k  (L)</t>
  </si>
  <si>
    <t>concept k ( 500)</t>
  </si>
  <si>
    <t>concept k (L)</t>
  </si>
  <si>
    <t>oil( L)</t>
  </si>
  <si>
    <t>فيرت فلاور  5</t>
  </si>
  <si>
    <t>vita  max 500</t>
  </si>
  <si>
    <t xml:space="preserve">بنجر اكس </t>
  </si>
  <si>
    <t>profert</t>
  </si>
  <si>
    <t>فورت جرين</t>
  </si>
  <si>
    <t xml:space="preserve">بلانتك </t>
  </si>
  <si>
    <t>فيوران</t>
  </si>
  <si>
    <t>ساليتو كال</t>
  </si>
  <si>
    <t xml:space="preserve">هليو سوبر </t>
  </si>
  <si>
    <t>Royal chem</t>
  </si>
  <si>
    <t xml:space="preserve">بيتا </t>
  </si>
  <si>
    <t>هيومك</t>
  </si>
  <si>
    <t xml:space="preserve">az </t>
  </si>
  <si>
    <t>zn</t>
  </si>
  <si>
    <t xml:space="preserve">رويال كيم </t>
  </si>
  <si>
    <t>فيرت فلاور  20</t>
  </si>
  <si>
    <t>fe</t>
  </si>
  <si>
    <t>اخوات الحج نادر</t>
  </si>
  <si>
    <t xml:space="preserve">اوينست </t>
  </si>
  <si>
    <t>tedron 42 .6.6</t>
  </si>
  <si>
    <t>مزرعة الكانتلوب</t>
  </si>
  <si>
    <t xml:space="preserve">alpha corn </t>
  </si>
  <si>
    <t>يوريا</t>
  </si>
  <si>
    <t>tedron 10. 52.10</t>
  </si>
  <si>
    <t>كبريت</t>
  </si>
  <si>
    <t>actara</t>
  </si>
  <si>
    <t>الحج علي ملاوي</t>
  </si>
  <si>
    <t>mn</t>
  </si>
  <si>
    <t xml:space="preserve">ارب كالسيوم </t>
  </si>
  <si>
    <t>الخيار</t>
  </si>
  <si>
    <t>اسيتاجولد</t>
  </si>
  <si>
    <t>فيرتكين</t>
  </si>
  <si>
    <t xml:space="preserve">شوك ميل </t>
  </si>
  <si>
    <t>customer_type</t>
  </si>
  <si>
    <t>Row Labels</t>
  </si>
  <si>
    <t>Grand Total</t>
  </si>
  <si>
    <t>2024</t>
  </si>
  <si>
    <t>Qtr3</t>
  </si>
  <si>
    <t>Aug</t>
  </si>
  <si>
    <t>Sep</t>
  </si>
  <si>
    <t>Qtr4</t>
  </si>
  <si>
    <t>Oct</t>
  </si>
  <si>
    <t>Nov</t>
  </si>
  <si>
    <t>2025</t>
  </si>
  <si>
    <t>Qtr1</t>
  </si>
  <si>
    <t>Feb</t>
  </si>
  <si>
    <t>Mar</t>
  </si>
  <si>
    <t>مجموع مبيعات كل منتج</t>
  </si>
  <si>
    <t>مجموع مبيعات كل عميل</t>
  </si>
  <si>
    <t>مصطفي عبد التواب</t>
  </si>
  <si>
    <t>مجموع المبيعات لكل شهر</t>
  </si>
  <si>
    <t>Qtr2</t>
  </si>
  <si>
    <t>Apr</t>
  </si>
  <si>
    <t>May</t>
  </si>
  <si>
    <t>Dec</t>
  </si>
  <si>
    <t>Jan</t>
  </si>
  <si>
    <t>moss</t>
  </si>
  <si>
    <t>lambada 30%</t>
  </si>
  <si>
    <t>ايريك</t>
  </si>
  <si>
    <t>prokin</t>
  </si>
  <si>
    <t>مزرعة طماطم</t>
  </si>
  <si>
    <t>ديازينون</t>
  </si>
  <si>
    <t>بروماكتين</t>
  </si>
  <si>
    <t>Sum of quantity</t>
  </si>
  <si>
    <t>Column Labels</t>
  </si>
  <si>
    <t>Jun</t>
  </si>
  <si>
    <t>Jul</t>
  </si>
  <si>
    <t>10.52.10</t>
  </si>
  <si>
    <t>42.6.6</t>
  </si>
  <si>
    <t>سم فئران</t>
  </si>
  <si>
    <t>برو فيرت</t>
  </si>
  <si>
    <t>بروكين</t>
  </si>
  <si>
    <t>19.19.19</t>
  </si>
  <si>
    <t>موسبيلان</t>
  </si>
  <si>
    <t>اميدا</t>
  </si>
  <si>
    <t>كلوروماك 500</t>
  </si>
  <si>
    <t>رويال كيم</t>
  </si>
  <si>
    <t>لمبادا 500 5%</t>
  </si>
  <si>
    <t>لمبادا 250 5%</t>
  </si>
  <si>
    <t>اورماكتين 250</t>
  </si>
  <si>
    <t>لمبادا 10%</t>
  </si>
  <si>
    <t>توكس</t>
  </si>
  <si>
    <t>لمبادا 500 27%</t>
  </si>
  <si>
    <t>فولفي ماكس</t>
  </si>
  <si>
    <t>ديمالين 120</t>
  </si>
  <si>
    <t>اورماكتين 100</t>
  </si>
  <si>
    <t>بوديوم</t>
  </si>
  <si>
    <t>امينو ريتش</t>
  </si>
  <si>
    <t>لروكليم</t>
  </si>
  <si>
    <t>كلوروماكس 250</t>
  </si>
  <si>
    <t>كوبريم</t>
  </si>
  <si>
    <t>فيبرو ماكس</t>
  </si>
  <si>
    <t>نيترو ستار</t>
  </si>
  <si>
    <t>كليو سوبر</t>
  </si>
  <si>
    <t>ام فور</t>
  </si>
  <si>
    <t>بروكليم</t>
  </si>
  <si>
    <t>اكتارا</t>
  </si>
  <si>
    <t>لوفكس</t>
  </si>
  <si>
    <t>اورسال 5</t>
  </si>
  <si>
    <t>جنت ار</t>
  </si>
  <si>
    <t>امينو جرو</t>
  </si>
  <si>
    <t>اورسال 20</t>
  </si>
  <si>
    <t>ماكس فيرت</t>
  </si>
  <si>
    <t>اوركال</t>
  </si>
  <si>
    <t>فورت روت</t>
  </si>
  <si>
    <t>منجنيز</t>
  </si>
  <si>
    <t>ازو ماكس</t>
  </si>
  <si>
    <t>سيتو ماغنسيوم</t>
  </si>
  <si>
    <t>زيجلر</t>
  </si>
  <si>
    <t>ديمالين 40</t>
  </si>
  <si>
    <t>الفاكيم</t>
  </si>
  <si>
    <t>فيكتور</t>
  </si>
  <si>
    <t>ريتش فوس</t>
  </si>
  <si>
    <t>زنك</t>
  </si>
  <si>
    <t>ريزولكس</t>
  </si>
  <si>
    <t>سترايك</t>
  </si>
  <si>
    <t>امينو ريتش 500</t>
  </si>
  <si>
    <t>فيرتكان</t>
  </si>
  <si>
    <t>اونست</t>
  </si>
  <si>
    <t>هيومك ماليزي</t>
  </si>
  <si>
    <t xml:space="preserve">ماكس فيرت </t>
  </si>
  <si>
    <t>مصطفي طبهار</t>
  </si>
  <si>
    <t>فيتا ماكس 100</t>
  </si>
  <si>
    <t xml:space="preserve">بوتا بلص </t>
  </si>
  <si>
    <t>رووت جارد</t>
  </si>
  <si>
    <t>وينر</t>
  </si>
  <si>
    <t>بيتا</t>
  </si>
  <si>
    <t>هيثم احمد الهواراي</t>
  </si>
  <si>
    <t>فيرت فلاور 20</t>
  </si>
  <si>
    <t>فيتا ماكس 500</t>
  </si>
  <si>
    <t>سنكور</t>
  </si>
  <si>
    <t>هيومك صيني</t>
  </si>
  <si>
    <t>سوبر كاييد كزد</t>
  </si>
  <si>
    <t>Gesaprim</t>
  </si>
  <si>
    <t>sum</t>
  </si>
  <si>
    <t>برو فيرت 500</t>
  </si>
  <si>
    <t>حديد كونسبت</t>
  </si>
  <si>
    <t>زنك ايديتا</t>
  </si>
  <si>
    <t>بوتا بلص</t>
  </si>
  <si>
    <t>فيرت فلاور 5</t>
  </si>
  <si>
    <t>كلوروسيد 500</t>
  </si>
  <si>
    <t>ازوتكس</t>
  </si>
  <si>
    <t>ماجيك سترات</t>
  </si>
  <si>
    <t>كلورو 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</si>
</sst>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5" x14ac:knownFonts="1">
    <font>
      <sz val="11"/>
      <color theme="1"/>
      <name val="Calibri"/>
      <family val="2"/>
      <scheme val="minor"/>
    </font>
    <font>
      <b/>
      <sz val="11"/>
      <name val="Calibri"/>
    </font>
    <font>
      <b/>
      <sz val="11"/>
      <name val="Calibri"/>
      <family val="2"/>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theme="8"/>
      </right>
      <top style="thin">
        <color theme="8"/>
      </top>
      <bottom/>
      <diagonal/>
    </border>
    <border>
      <left style="thin">
        <color theme="8"/>
      </left>
      <right/>
      <top style="thin">
        <color theme="8"/>
      </top>
      <bottom/>
      <diagonal/>
    </border>
    <border>
      <left/>
      <right/>
      <top style="thin">
        <color theme="8"/>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applyAlignment="1">
      <alignment horizontal="left" indent="2"/>
    </xf>
    <xf numFmtId="3" fontId="0" fillId="0" borderId="0" xfId="0" applyNumberFormat="1"/>
    <xf numFmtId="164" fontId="0" fillId="0" borderId="1" xfId="0" applyNumberFormat="1" applyBorder="1"/>
    <xf numFmtId="0" fontId="0" fillId="0" borderId="2" xfId="0" applyBorder="1"/>
    <xf numFmtId="0" fontId="0" fillId="0" borderId="3" xfId="0" applyBorder="1"/>
    <xf numFmtId="1" fontId="0" fillId="0" borderId="3" xfId="0" applyNumberFormat="1" applyBorder="1"/>
    <xf numFmtId="0" fontId="1" fillId="2" borderId="4" xfId="0" applyFont="1" applyFill="1" applyBorder="1" applyAlignment="1">
      <alignment horizontal="center" vertical="top"/>
    </xf>
    <xf numFmtId="1" fontId="1" fillId="2" borderId="4" xfId="0" applyNumberFormat="1" applyFont="1" applyFill="1" applyBorder="1" applyAlignment="1">
      <alignment horizontal="center" vertical="top"/>
    </xf>
    <xf numFmtId="0" fontId="2" fillId="2" borderId="4" xfId="0" applyFont="1" applyFill="1" applyBorder="1" applyAlignment="1">
      <alignment horizontal="center" vertical="top"/>
    </xf>
    <xf numFmtId="164" fontId="1" fillId="2" borderId="4" xfId="0" applyNumberFormat="1" applyFont="1" applyFill="1" applyBorder="1" applyAlignment="1">
      <alignment horizontal="center" vertical="top"/>
    </xf>
    <xf numFmtId="0" fontId="3" fillId="0" borderId="0" xfId="0" applyFont="1"/>
    <xf numFmtId="0" fontId="4" fillId="0" borderId="0" xfId="0" applyFont="1"/>
  </cellXfs>
  <cellStyles count="1">
    <cellStyle name="Normal" xfId="0" builtinId="0"/>
  </cellStyles>
  <dxfs count="9">
    <dxf>
      <numFmt numFmtId="164" formatCode="[$-409]d\-mmm\-yyyy;@"/>
      <border diagonalUp="0" diagonalDown="0">
        <left/>
        <right style="thin">
          <color theme="8"/>
        </right>
        <top style="thin">
          <color theme="8"/>
        </top>
        <bottom/>
        <vertical/>
        <horizontal/>
      </border>
    </dxf>
    <dxf>
      <border diagonalUp="0" diagonalDown="0">
        <left/>
        <right/>
        <top style="thin">
          <color theme="8"/>
        </top>
        <bottom/>
        <vertical/>
        <horizontal/>
      </border>
    </dxf>
    <dxf>
      <border diagonalUp="0" diagonalDown="0">
        <left/>
        <right/>
        <top style="thin">
          <color theme="8"/>
        </top>
        <bottom/>
        <vertical/>
        <horizontal/>
      </border>
    </dxf>
    <dxf>
      <numFmt numFmtId="1" formatCode="0"/>
      <border diagonalUp="0" diagonalDown="0">
        <left/>
        <right/>
        <top style="thin">
          <color theme="8"/>
        </top>
        <bottom/>
        <vertical/>
        <horizontal/>
      </border>
    </dxf>
    <dxf>
      <border diagonalUp="0" diagonalDown="0">
        <left/>
        <right/>
        <top style="thin">
          <color theme="8"/>
        </top>
        <bottom/>
        <vertical/>
        <horizontal/>
      </border>
    </dxf>
    <dxf>
      <border diagonalUp="0" diagonalDown="0">
        <left/>
        <right/>
        <top style="thin">
          <color theme="8"/>
        </top>
        <bottom/>
        <vertical/>
        <horizontal/>
      </border>
    </dxf>
    <dxf>
      <border diagonalUp="0" diagonalDown="0">
        <left style="thin">
          <color theme="8"/>
        </left>
        <right/>
        <top style="thin">
          <color theme="8"/>
        </top>
        <bottom/>
        <vertical/>
        <horizontal/>
      </border>
    </dxf>
    <dxf>
      <border outline="0">
        <top style="thin">
          <color auto="1"/>
        </top>
        <bottom style="thin">
          <color theme="8"/>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[All_Sales_Data.xlsx]PivotTable!PivotTable1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اتجاه</a:t>
            </a:r>
            <a:r>
              <a:rPr lang="ar-EG" baseline="0"/>
              <a:t> المبيعات الشهري</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PivotTable!$B$21</c:f>
              <c:strCache>
                <c:ptCount val="1"/>
                <c:pt idx="0">
                  <c:v>Total</c:v>
                </c:pt>
              </c:strCache>
            </c:strRef>
          </c:tx>
          <c:spPr>
            <a:ln w="28575" cap="rnd">
              <a:solidFill>
                <a:schemeClr val="accent1"/>
              </a:solidFill>
              <a:round/>
            </a:ln>
            <a:effectLst/>
          </c:spPr>
          <c:marker>
            <c:symbol val="none"/>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PivotTable!$A$22:$A$38</c:f>
              <c:multiLvlStrCache>
                <c:ptCount val="10"/>
                <c:lvl>
                  <c:pt idx="0">
                    <c:v>Aug</c:v>
                  </c:pt>
                  <c:pt idx="1">
                    <c:v>Sep</c:v>
                  </c:pt>
                  <c:pt idx="2">
                    <c:v>Oct</c:v>
                  </c:pt>
                  <c:pt idx="3">
                    <c:v>Nov</c:v>
                  </c:pt>
                  <c:pt idx="4">
                    <c:v>Dec</c:v>
                  </c:pt>
                  <c:pt idx="5">
                    <c:v>Jan</c:v>
                  </c:pt>
                  <c:pt idx="6">
                    <c:v>Feb</c:v>
                  </c:pt>
                  <c:pt idx="7">
                    <c:v>Mar</c:v>
                  </c:pt>
                  <c:pt idx="8">
                    <c:v>Apr</c:v>
                  </c:pt>
                  <c:pt idx="9">
                    <c:v>May</c:v>
                  </c:pt>
                </c:lvl>
                <c:lvl>
                  <c:pt idx="0">
                    <c:v>Qtr3</c:v>
                  </c:pt>
                  <c:pt idx="2">
                    <c:v>Qtr4</c:v>
                  </c:pt>
                  <c:pt idx="5">
                    <c:v>Qtr1</c:v>
                  </c:pt>
                  <c:pt idx="8">
                    <c:v>Qtr2</c:v>
                  </c:pt>
                </c:lvl>
                <c:lvl>
                  <c:pt idx="0">
                    <c:v>2024</c:v>
                  </c:pt>
                  <c:pt idx="5">
                    <c:v>2025</c:v>
                  </c:pt>
                </c:lvl>
              </c:multiLvlStrCache>
            </c:multiLvlStrRef>
          </c:cat>
          <c:val>
            <c:numRef>
              <c:f>PivotTable!$B$22:$B$38</c:f>
              <c:numCache>
                <c:formatCode>#,##0</c:formatCode>
                <c:ptCount val="10"/>
                <c:pt idx="0">
                  <c:v>3190</c:v>
                </c:pt>
                <c:pt idx="1">
                  <c:v>301370</c:v>
                </c:pt>
                <c:pt idx="2">
                  <c:v>2139798</c:v>
                </c:pt>
                <c:pt idx="3">
                  <c:v>349609</c:v>
                </c:pt>
                <c:pt idx="4">
                  <c:v>33999.9</c:v>
                </c:pt>
                <c:pt idx="5">
                  <c:v>159022</c:v>
                </c:pt>
                <c:pt idx="6">
                  <c:v>265143.89</c:v>
                </c:pt>
                <c:pt idx="7">
                  <c:v>118860.40000000001</c:v>
                </c:pt>
                <c:pt idx="8">
                  <c:v>10881.35</c:v>
                </c:pt>
                <c:pt idx="9">
                  <c:v>78819</c:v>
                </c:pt>
              </c:numCache>
            </c:numRef>
          </c:val>
          <c:smooth val="0"/>
          <c:extLst>
            <c:ext xmlns:c16="http://schemas.microsoft.com/office/drawing/2014/chart" uri="{C3380CC4-5D6E-409C-BE32-E72D297353CC}">
              <c16:uniqueId val="{00000001-127D-4C70-857D-A9B90D591EB9}"/>
            </c:ext>
          </c:extLst>
        </c:ser>
        <c:dLbls>
          <c:dLblPos val="t"/>
          <c:showLegendKey val="0"/>
          <c:showVal val="1"/>
          <c:showCatName val="0"/>
          <c:showSerName val="0"/>
          <c:showPercent val="0"/>
          <c:showBubbleSize val="0"/>
        </c:dLbls>
        <c:smooth val="0"/>
        <c:axId val="1402257727"/>
        <c:axId val="1394521023"/>
      </c:lineChart>
      <c:catAx>
        <c:axId val="140225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21023"/>
        <c:crosses val="autoZero"/>
        <c:auto val="1"/>
        <c:lblAlgn val="ctr"/>
        <c:lblOffset val="100"/>
        <c:noMultiLvlLbl val="0"/>
      </c:catAx>
      <c:valAx>
        <c:axId val="139452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577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[All_Sales_Data.xlsx]PivotTable!PivotTable3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اكثر</a:t>
            </a:r>
            <a:r>
              <a:rPr lang="ar-EG" baseline="0"/>
              <a:t> العملاء شراء</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PivotTable!$A$4:$A$15</c:f>
              <c:strCache>
                <c:ptCount val="11"/>
                <c:pt idx="0">
                  <c:v>محمد هاشم </c:v>
                </c:pt>
                <c:pt idx="1">
                  <c:v>مزرعة الطماطم</c:v>
                </c:pt>
                <c:pt idx="2">
                  <c:v>مزرعة الكانتلوب</c:v>
                </c:pt>
                <c:pt idx="3">
                  <c:v>الحج خميس</c:v>
                </c:pt>
                <c:pt idx="4">
                  <c:v>محل </c:v>
                </c:pt>
                <c:pt idx="5">
                  <c:v>الحج علي ملاوي</c:v>
                </c:pt>
                <c:pt idx="6">
                  <c:v>الحج خالد زبالة </c:v>
                </c:pt>
                <c:pt idx="7">
                  <c:v>مصطفي عبد التواب</c:v>
                </c:pt>
                <c:pt idx="8">
                  <c:v>الحج وليد</c:v>
                </c:pt>
                <c:pt idx="9">
                  <c:v>ارض الحرجاوية </c:v>
                </c:pt>
                <c:pt idx="10">
                  <c:v>اخوات الحج نادر</c:v>
                </c:pt>
              </c:strCache>
            </c:strRef>
          </c:cat>
          <c:val>
            <c:numRef>
              <c:f>PivotTable!$B$4:$B$15</c:f>
              <c:numCache>
                <c:formatCode>#,##0</c:formatCode>
                <c:ptCount val="11"/>
                <c:pt idx="0">
                  <c:v>2217258</c:v>
                </c:pt>
                <c:pt idx="1">
                  <c:v>378930</c:v>
                </c:pt>
                <c:pt idx="2">
                  <c:v>322820</c:v>
                </c:pt>
                <c:pt idx="3">
                  <c:v>150320</c:v>
                </c:pt>
                <c:pt idx="4">
                  <c:v>144471.54</c:v>
                </c:pt>
                <c:pt idx="5">
                  <c:v>104185</c:v>
                </c:pt>
                <c:pt idx="6">
                  <c:v>79950</c:v>
                </c:pt>
                <c:pt idx="7">
                  <c:v>26859</c:v>
                </c:pt>
                <c:pt idx="8">
                  <c:v>14460</c:v>
                </c:pt>
                <c:pt idx="9">
                  <c:v>10760</c:v>
                </c:pt>
                <c:pt idx="10">
                  <c:v>10680</c:v>
                </c:pt>
              </c:numCache>
            </c:numRef>
          </c:val>
          <c:extLst>
            <c:ext xmlns:c16="http://schemas.microsoft.com/office/drawing/2014/chart" uri="{C3380CC4-5D6E-409C-BE32-E72D297353CC}">
              <c16:uniqueId val="{00000000-E48C-40AA-ABBE-D80855BA4EFB}"/>
            </c:ext>
          </c:extLst>
        </c:ser>
        <c:dLbls>
          <c:dLblPos val="outEnd"/>
          <c:showLegendKey val="0"/>
          <c:showVal val="1"/>
          <c:showCatName val="0"/>
          <c:showSerName val="0"/>
          <c:showPercent val="0"/>
          <c:showBubbleSize val="0"/>
        </c:dLbls>
        <c:gapWidth val="150"/>
        <c:axId val="1402242927"/>
        <c:axId val="1335420175"/>
      </c:barChart>
      <c:catAx>
        <c:axId val="1402242927"/>
        <c:scaling>
          <c:orientation val="maxMin"/>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20175"/>
        <c:crosses val="autoZero"/>
        <c:auto val="1"/>
        <c:lblAlgn val="ctr"/>
        <c:lblOffset val="100"/>
        <c:noMultiLvlLbl val="0"/>
      </c:catAx>
      <c:valAx>
        <c:axId val="1335420175"/>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24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[All_Sales_Data.xlsx]PivotTable!PivotTable2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اعلي 10 منتجات</a:t>
            </a:r>
            <a:r>
              <a:rPr lang="ar-EG" baseline="0"/>
              <a:t> مبيعا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PivotTable!$A$43:$A$53</c:f>
              <c:strCache>
                <c:ptCount val="10"/>
                <c:pt idx="0">
                  <c:v>orsal 20 </c:v>
                </c:pt>
                <c:pt idx="1">
                  <c:v>max fert </c:v>
                </c:pt>
                <c:pt idx="2">
                  <c:v>nitro star</c:v>
                </c:pt>
                <c:pt idx="3">
                  <c:v>twics</c:v>
                </c:pt>
                <c:pt idx="4">
                  <c:v>اميدور</c:v>
                </c:pt>
                <c:pt idx="5">
                  <c:v>فيرت فلاور  20</c:v>
                </c:pt>
                <c:pt idx="6">
                  <c:v>Vector</c:v>
                </c:pt>
                <c:pt idx="7">
                  <c:v>volvi</c:v>
                </c:pt>
                <c:pt idx="8">
                  <c:v>هيومك</c:v>
                </c:pt>
                <c:pt idx="9">
                  <c:v>هليو سوبر </c:v>
                </c:pt>
              </c:strCache>
            </c:strRef>
          </c:cat>
          <c:val>
            <c:numRef>
              <c:f>PivotTable!$B$43:$B$53</c:f>
              <c:numCache>
                <c:formatCode>#,##0</c:formatCode>
                <c:ptCount val="10"/>
                <c:pt idx="0">
                  <c:v>228750</c:v>
                </c:pt>
                <c:pt idx="1">
                  <c:v>193880</c:v>
                </c:pt>
                <c:pt idx="2">
                  <c:v>163150</c:v>
                </c:pt>
                <c:pt idx="3">
                  <c:v>137445</c:v>
                </c:pt>
                <c:pt idx="4">
                  <c:v>114750</c:v>
                </c:pt>
                <c:pt idx="5">
                  <c:v>114225</c:v>
                </c:pt>
                <c:pt idx="6">
                  <c:v>111570</c:v>
                </c:pt>
                <c:pt idx="7">
                  <c:v>109200</c:v>
                </c:pt>
                <c:pt idx="8">
                  <c:v>105329.4</c:v>
                </c:pt>
                <c:pt idx="9">
                  <c:v>104000</c:v>
                </c:pt>
              </c:numCache>
            </c:numRef>
          </c:val>
          <c:extLst>
            <c:ext xmlns:c16="http://schemas.microsoft.com/office/drawing/2014/chart" uri="{C3380CC4-5D6E-409C-BE32-E72D297353CC}">
              <c16:uniqueId val="{00000000-F556-4850-BFCA-C484EB9D2B68}"/>
            </c:ext>
          </c:extLst>
        </c:ser>
        <c:dLbls>
          <c:dLblPos val="outEnd"/>
          <c:showLegendKey val="0"/>
          <c:showVal val="1"/>
          <c:showCatName val="0"/>
          <c:showSerName val="0"/>
          <c:showPercent val="0"/>
          <c:showBubbleSize val="0"/>
        </c:dLbls>
        <c:gapWidth val="219"/>
        <c:overlap val="-27"/>
        <c:axId val="236787695"/>
        <c:axId val="1927999807"/>
      </c:barChart>
      <c:catAx>
        <c:axId val="23678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99807"/>
        <c:crosses val="autoZero"/>
        <c:auto val="1"/>
        <c:lblAlgn val="ctr"/>
        <c:lblOffset val="100"/>
        <c:noMultiLvlLbl val="0"/>
      </c:catAx>
      <c:valAx>
        <c:axId val="1927999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8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312420</xdr:colOff>
      <xdr:row>19</xdr:row>
      <xdr:rowOff>140970</xdr:rowOff>
    </xdr:from>
    <xdr:to>
      <xdr:col>14</xdr:col>
      <xdr:colOff>160020</xdr:colOff>
      <xdr:row>37</xdr:row>
      <xdr:rowOff>175260</xdr:rowOff>
    </xdr:to>
    <xdr:graphicFrame macro="">
      <xdr:nvGraphicFramePr>
        <xdr:cNvPr id="2" name="Chart 1">
          <a:extLst>
            <a:ext uri="{FF2B5EF4-FFF2-40B4-BE49-F238E27FC236}">
              <a16:creationId xmlns:a16="http://schemas.microsoft.com/office/drawing/2014/main" id="{B39B770C-2A40-4066-A9B4-B6FE384FE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0</xdr:row>
      <xdr:rowOff>118110</xdr:rowOff>
    </xdr:from>
    <xdr:to>
      <xdr:col>11</xdr:col>
      <xdr:colOff>502920</xdr:colOff>
      <xdr:row>15</xdr:row>
      <xdr:rowOff>118110</xdr:rowOff>
    </xdr:to>
    <xdr:graphicFrame macro="">
      <xdr:nvGraphicFramePr>
        <xdr:cNvPr id="3" name="Chart 2">
          <a:extLst>
            <a:ext uri="{FF2B5EF4-FFF2-40B4-BE49-F238E27FC236}">
              <a16:creationId xmlns:a16="http://schemas.microsoft.com/office/drawing/2014/main" id="{3C994A60-0E6A-42A6-AECB-7347F1B90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579120</xdr:colOff>
      <xdr:row>20</xdr:row>
      <xdr:rowOff>15240</xdr:rowOff>
    </xdr:from>
    <xdr:to>
      <xdr:col>18</xdr:col>
      <xdr:colOff>53340</xdr:colOff>
      <xdr:row>33</xdr:row>
      <xdr:rowOff>104775</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1F79A79E-FC14-479C-9555-A6A2D84488C3}"/>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8930640" y="3672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320040</xdr:colOff>
      <xdr:row>40</xdr:row>
      <xdr:rowOff>7620</xdr:rowOff>
    </xdr:from>
    <xdr:to>
      <xdr:col>11</xdr:col>
      <xdr:colOff>144780</xdr:colOff>
      <xdr:row>59</xdr:row>
      <xdr:rowOff>60960</xdr:rowOff>
    </xdr:to>
    <xdr:graphicFrame macro="">
      <xdr:nvGraphicFramePr>
        <xdr:cNvPr id="4" name="Chart 3">
          <a:extLst>
            <a:ext uri="{FF2B5EF4-FFF2-40B4-BE49-F238E27FC236}">
              <a16:creationId xmlns:a16="http://schemas.microsoft.com/office/drawing/2014/main" id="{F707A120-90D5-45CA-9CE7-18668B647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457200</xdr:colOff>
      <xdr:row>40</xdr:row>
      <xdr:rowOff>0</xdr:rowOff>
    </xdr:from>
    <xdr:to>
      <xdr:col>14</xdr:col>
      <xdr:colOff>769620</xdr:colOff>
      <xdr:row>59</xdr:row>
      <xdr:rowOff>76200</xdr:rowOff>
    </xdr:to>
    <mc:AlternateContent xmlns:mc="http://schemas.openxmlformats.org/markup-compatibility/2006" xmlns:a14="http://schemas.microsoft.com/office/drawing/2010/main">
      <mc:Choice Requires="a14">
        <xdr:graphicFrame macro="">
          <xdr:nvGraphicFramePr>
            <xdr:cNvPr id="5" name="order_date">
              <a:extLst>
                <a:ext uri="{FF2B5EF4-FFF2-40B4-BE49-F238E27FC236}">
                  <a16:creationId xmlns:a16="http://schemas.microsoft.com/office/drawing/2014/main" id="{45BE829B-9420-4793-99C7-40F158615817}"/>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10736580" y="7315200"/>
              <a:ext cx="1828800" cy="3550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579120</xdr:colOff>
      <xdr:row>41</xdr:row>
      <xdr:rowOff>15240</xdr:rowOff>
    </xdr:from>
    <xdr:to>
      <xdr:col>18</xdr:col>
      <xdr:colOff>53340</xdr:colOff>
      <xdr:row>54</xdr:row>
      <xdr:rowOff>104775</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18DD442D-1B01-0874-6F39-CA8DAB2389B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8930640" y="7513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Faisal" refreshedDate="45810.829302546299" createdVersion="6" refreshedVersion="6" minRefreshableVersion="3" recordCount="1146" xr:uid="{BE0E81F6-953E-40CA-9CE1-BB5CFB8A715A}">
  <cacheSource type="worksheet">
    <worksheetSource ref="A1:G1451" sheet="FarmGreen Sales History"/>
  </cacheSource>
  <cacheFields count="9">
    <cacheField name="product_name" numFmtId="0">
      <sharedItems count="108">
        <s v="alpha chem "/>
        <s v="lambada 250 5%"/>
        <s v="vita max"/>
        <s v="ormactin 100"/>
        <s v="rat killer "/>
        <s v="chloro 250 "/>
        <s v="ثيوفيت "/>
        <s v="حبوب قمح "/>
        <s v="supercaid "/>
        <s v="ormactin 250 "/>
        <s v="twics"/>
        <s v="volvi"/>
        <s v="podim"/>
        <s v="strike "/>
        <s v="orsal 5"/>
        <s v="orsal 20 "/>
        <s v="rich phos"/>
        <s v="dimalin (120)"/>
        <s v="iso max "/>
        <s v="amino rich L "/>
        <s v="fort root "/>
        <s v="amino grow"/>
        <s v="m4"/>
        <s v="liroclim "/>
        <s v="max fert "/>
        <s v="nitro star"/>
        <s v="clio super"/>
        <s v="lofex "/>
        <s v="dimalin (40)"/>
        <s v="acetamore "/>
        <s v="chloro 500"/>
        <s v="overmil "/>
        <s v="proclim "/>
        <s v="lambada 10% "/>
        <s v="هاي تك كوسا "/>
        <s v="soap "/>
        <s v="ziglar "/>
        <s v="gaint r"/>
        <s v="Gesaprim "/>
        <s v="insects"/>
        <s v="orcal "/>
        <s v="caNo3"/>
        <s v="fibro max"/>
        <s v="حمض الفوسفوريك "/>
        <s v="imida "/>
        <s v="rozilex "/>
        <s v="lambada 500 5%"/>
        <s v="بنجر كس "/>
        <s v="فيرت فلاور "/>
        <s v="mgNo3"/>
        <s v="فوليار "/>
        <s v="اوكتان "/>
        <s v="زيت  نباتي "/>
        <s v="اميدور"/>
        <s v="تفراس "/>
        <s v="ماجيك سترات "/>
        <s v="فلورا "/>
        <s v="amino rich 500"/>
        <s v="cyto mg "/>
        <s v="هامر "/>
        <s v="tedron (1kg)"/>
        <s v="فيتا سيت "/>
        <s v="فوستيل بلس"/>
        <s v="Vector"/>
        <s v="CaNo3 yara"/>
        <s v="Vertcan"/>
        <s v="high bloom "/>
        <s v="copprim "/>
        <s v="fure anora (250)"/>
        <s v="fure anora (500)"/>
        <s v="pomo flor (250)"/>
        <s v="pomo flor (500)"/>
        <s v="power size (250)"/>
        <s v="power size (500)"/>
        <s v="stro k  (L)"/>
        <s v="concept k ( 500)"/>
        <s v="concept k (L)"/>
        <s v="oil( L)"/>
        <s v="فيرت فلاور  5"/>
        <s v="vita  max 500"/>
        <s v="بنجر اكس "/>
        <s v="profert"/>
        <s v="فورت جرين"/>
        <s v="بلانتك "/>
        <s v="فيوران"/>
        <s v="ساليتو كال"/>
        <s v="هليو سوبر "/>
        <s v="Royal chem"/>
        <s v="بيتا "/>
        <s v="هيومك"/>
        <s v="az "/>
        <s v="zn"/>
        <s v="رويال كيم "/>
        <s v="فيرت فلاور  20"/>
        <s v="fe"/>
        <s v="اوينست "/>
        <s v="tedron 42 .6.6"/>
        <s v="alpha corn "/>
        <s v="يوريا"/>
        <s v="tedron 10. 52.10"/>
        <s v="كبريت"/>
        <s v="actara"/>
        <s v="mn"/>
        <s v="ارب كالسيوم "/>
        <s v="الخيار"/>
        <s v="اسيتاجولد"/>
        <s v="فيرتكين"/>
        <s v="شوك ميل "/>
      </sharedItems>
    </cacheField>
    <cacheField name="quantity" numFmtId="0">
      <sharedItems containsSemiMixedTypes="0" containsString="0" containsNumber="1" minValue="0.1" maxValue="480"/>
    </cacheField>
    <cacheField name="unit_price" numFmtId="1">
      <sharedItems containsString="0" containsBlank="1" containsNumber="1" minValue="10" maxValue="3500"/>
    </cacheField>
    <cacheField name="total_price" numFmtId="1">
      <sharedItems containsSemiMixedTypes="0" containsString="0" containsNumber="1" minValue="0" maxValue="100800"/>
    </cacheField>
    <cacheField name="customer_type" numFmtId="0">
      <sharedItems containsBlank="1" count="17">
        <s v="محل "/>
        <s v="الحج خميس"/>
        <s v="الحج وليد"/>
        <s v="مصطفي عبد التواب"/>
        <s v="الحج خالد زبالة "/>
        <s v="مزرعة الطماطم"/>
        <s v="محمد هاشم "/>
        <s v="ارض الحرجاوية "/>
        <s v="اخوات الحج نادر"/>
        <s v="مزرعة الكانتلوب"/>
        <s v="الحج علي ملاوي"/>
        <m u="1"/>
        <s v="مصطفي عبدالتواب " u="1"/>
        <s v="مصطفي عبد التواب " u="1"/>
        <s v="حرجاوية " u="1"/>
        <s v="مزرعة طماطم" u="1"/>
        <s v="مصطفي طبهار" u="1"/>
      </sharedItems>
    </cacheField>
    <cacheField name="notes" numFmtId="0">
      <sharedItems containsBlank="1"/>
    </cacheField>
    <cacheField name="order_date" numFmtId="164">
      <sharedItems containsSemiMixedTypes="0" containsNonDate="0" containsDate="1" containsString="0" minDate="2024-08-27T00:00:00" maxDate="2025-06-01T00:00:00" count="204">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1T00:00:00"/>
        <d v="2024-09-22T00:00:00"/>
        <d v="2024-09-23T00:00:00"/>
        <d v="2024-09-24T00:00:00"/>
        <d v="2024-09-25T00:00:00"/>
        <d v="2024-09-26T00:00:00"/>
        <d v="2024-09-28T00:00:00"/>
        <d v="2024-09-29T00:00:00"/>
        <d v="2024-09-30T00:00:00"/>
        <d v="2024-10-01T00:00:00"/>
        <d v="2024-10-02T00:00:00"/>
        <d v="2024-10-03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5T00:00:00"/>
        <d v="2024-10-26T00:00:00"/>
        <d v="2024-10-27T00:00:00"/>
        <d v="2024-10-29T00:00:00"/>
        <d v="2024-10-31T00:00:00"/>
        <d v="2024-11-02T00:00:00"/>
        <d v="2024-11-03T00:00:00"/>
        <d v="2024-11-04T00:00:00"/>
        <d v="2024-11-05T00:00:00"/>
        <d v="2024-11-06T00:00:00"/>
        <d v="2024-11-07T00:00:00"/>
        <d v="2024-11-09T00:00:00"/>
        <d v="2024-11-11T00:00:00"/>
        <d v="2024-11-12T00:00:00"/>
        <d v="2024-11-13T00:00:00"/>
        <d v="2024-11-14T00:00:00"/>
        <d v="2024-11-16T00:00:00"/>
        <d v="2024-11-17T00:00:00"/>
        <d v="2024-11-18T00:00:00"/>
        <d v="2024-11-19T00:00:00"/>
        <d v="2024-11-20T00:00:00"/>
        <d v="2024-11-21T00:00:00"/>
        <d v="2024-11-23T00:00:00"/>
        <d v="2024-11-24T00:00:00"/>
        <d v="2024-11-25T00:00:00"/>
        <d v="2024-11-26T00:00:00"/>
        <d v="2024-11-27T00:00:00"/>
        <d v="2024-11-28T00:00:00"/>
        <d v="2024-11-30T00:00:00"/>
        <d v="2024-12-02T00:00:00"/>
        <d v="2024-12-03T00:00:00"/>
        <d v="2024-12-05T00:00:00"/>
        <d v="2024-12-07T00:00:00"/>
        <d v="2024-12-08T00:00:00"/>
        <d v="2024-12-09T00:00:00"/>
        <d v="2024-12-10T00:00:00"/>
        <d v="2024-12-12T00:00:00"/>
        <d v="2024-12-14T00:00:00"/>
        <d v="2024-12-15T00:00:00"/>
        <d v="2024-12-18T00:00:00"/>
        <d v="2024-12-22T00:00:00"/>
        <d v="2024-12-23T00:00:00"/>
        <d v="2024-12-24T00:00:00"/>
        <d v="2024-12-26T00:00:00"/>
        <d v="2024-12-27T00:00:00"/>
        <d v="2024-12-28T00:00:00"/>
        <d v="2024-12-29T00:00:00"/>
        <d v="2024-12-30T00:00:00"/>
        <d v="2024-12-31T00:00:00"/>
        <d v="2025-01-01T00:00:00"/>
        <d v="2025-01-04T00:00:00"/>
        <d v="2025-01-07T00:00:00"/>
        <d v="2025-01-08T00:00:00"/>
        <d v="2025-01-09T00:00:00"/>
        <d v="2025-01-11T00:00:00"/>
        <d v="2025-01-13T00:00:00"/>
        <d v="2025-01-14T00:00:00"/>
        <d v="2025-01-18T00:00:00"/>
        <d v="2025-01-19T00:00:00"/>
        <d v="2025-01-21T00:00:00"/>
        <d v="2025-01-22T00:00:00"/>
        <d v="2025-01-23T00:00:00"/>
        <d v="2025-01-25T00:00:00"/>
        <d v="2025-01-26T00:00:00"/>
        <d v="2025-01-27T00:00:00"/>
        <d v="2025-01-28T00:00:00"/>
        <d v="2025-01-29T00:00:00"/>
        <d v="2025-02-01T00:00:00"/>
        <d v="2025-02-02T00:00:00"/>
        <d v="2025-02-03T00:00:00"/>
        <d v="2025-02-04T00:00:00"/>
        <d v="2025-02-05T00:00:00"/>
        <d v="2025-02-08T00:00:00"/>
        <d v="2025-02-09T00:00:00"/>
        <d v="2025-02-11T00:00:00"/>
        <d v="2025-02-13T00:00:00"/>
        <d v="2025-02-15T00:00:00"/>
        <d v="2025-02-16T00:00:00"/>
        <d v="2025-02-17T00:00:00"/>
        <d v="2025-02-18T00:00:00"/>
        <d v="2025-02-19T00:00:00"/>
        <d v="2025-02-20T00:00:00"/>
        <d v="2025-02-22T00:00:00"/>
        <d v="2025-02-23T00:00:00"/>
        <d v="2025-02-25T00:00:00"/>
        <d v="2025-02-26T00:00:00"/>
        <d v="2025-02-27T00:00:00"/>
        <d v="2025-03-02T00:00:00"/>
        <d v="2025-03-03T00:00:00"/>
        <d v="2025-03-04T00:00:00"/>
        <d v="2025-03-05T00:00:00"/>
        <d v="2025-03-08T00:00:00"/>
        <d v="2025-03-09T00:00:00"/>
        <d v="2025-03-10T00:00:00"/>
        <d v="2025-03-11T00:00:00"/>
        <d v="2025-03-12T00:00:00"/>
        <d v="2025-03-13T00:00:00"/>
        <d v="2025-03-15T00:00:00"/>
        <d v="2025-03-19T00:00:00"/>
        <d v="2025-03-22T00:00:00"/>
        <d v="2025-03-24T00:00:00"/>
        <d v="2025-03-25T00:00:00"/>
        <d v="2025-03-26T00:00:00"/>
        <d v="2025-03-27T00:00:00"/>
        <d v="2025-04-03T00:00:00"/>
        <d v="2025-04-05T00:00:00"/>
        <d v="2025-04-06T00:00:00"/>
        <d v="2025-04-07T00:00:00"/>
        <d v="2025-04-08T00:00:00"/>
        <d v="2025-04-09T00:00:00"/>
        <d v="2025-04-10T00:00:00"/>
        <d v="2025-04-12T00:00:00"/>
        <d v="2025-04-14T00:00:00"/>
        <d v="2025-04-15T00:00:00"/>
        <d v="2025-04-16T00:00:00"/>
        <d v="2025-04-17T00:00:00"/>
        <d v="2025-04-19T00:00:00"/>
        <d v="2025-04-20T00:00:00"/>
        <d v="2025-04-21T00:00:00"/>
        <d v="2025-04-22T00:00:00"/>
        <d v="2025-04-23T00:00:00"/>
        <d v="2025-04-24T00:00:00"/>
        <d v="2025-04-26T00:00:00"/>
        <d v="2025-04-27T00:00:00"/>
        <d v="2025-04-28T00:00:00"/>
        <d v="2025-04-30T00:00:00"/>
        <d v="2025-05-01T00:00:00"/>
        <d v="2025-05-03T00:00:00"/>
        <d v="2025-05-04T00:00:00"/>
        <d v="2025-05-05T00:00:00"/>
        <d v="2025-05-06T00:00:00"/>
        <d v="2025-05-07T00:00:00"/>
        <d v="2025-05-08T00:00:00"/>
        <d v="2025-05-10T00:00:00"/>
        <d v="2025-05-11T00:00:00"/>
        <d v="2025-05-12T00:00:00"/>
        <d v="2025-05-13T00:00:00"/>
        <d v="2025-05-14T00:00:00"/>
        <d v="2025-05-15T00:00:00"/>
        <d v="2025-05-16T00:00:00"/>
        <d v="2025-05-17T00:00:00"/>
        <d v="2025-05-18T00:00:00"/>
        <d v="2025-05-19T00:00:00"/>
        <d v="2025-05-20T00:00:00"/>
        <d v="2025-05-21T00:00:00"/>
        <d v="2025-05-22T00:00:00"/>
        <d v="2025-05-24T00:00:00"/>
        <d v="2025-05-25T00:00:00"/>
        <d v="2025-05-27T00:00:00"/>
        <d v="2025-05-28T00:00:00"/>
        <d v="2025-05-29T00:00:00"/>
        <d v="2025-05-31T00:00:00"/>
      </sharedItems>
      <fieldGroup par="8" base="6">
        <rangePr groupBy="months" startDate="2024-08-27T00:00:00" endDate="2025-06-01T00:00:00"/>
        <groupItems count="14">
          <s v="&lt;8/27/2024"/>
          <s v="Jan"/>
          <s v="Feb"/>
          <s v="Mar"/>
          <s v="Apr"/>
          <s v="May"/>
          <s v="Jun"/>
          <s v="Jul"/>
          <s v="Aug"/>
          <s v="Sep"/>
          <s v="Oct"/>
          <s v="Nov"/>
          <s v="Dec"/>
          <s v="&gt;6/1/2025"/>
        </groupItems>
      </fieldGroup>
    </cacheField>
    <cacheField name="Quarters" numFmtId="0" databaseField="0">
      <fieldGroup base="6">
        <rangePr groupBy="quarters" startDate="2024-08-27T00:00:00" endDate="2025-06-01T00:00:00"/>
        <groupItems count="6">
          <s v="&lt;8/27/2024"/>
          <s v="Qtr1"/>
          <s v="Qtr2"/>
          <s v="Qtr3"/>
          <s v="Qtr4"/>
          <s v="&gt;6/1/2025"/>
        </groupItems>
      </fieldGroup>
    </cacheField>
    <cacheField name="Years" numFmtId="0" databaseField="0">
      <fieldGroup base="6">
        <rangePr groupBy="years" startDate="2024-08-27T00:00:00" endDate="2025-06-01T00:00:00"/>
        <groupItems count="4">
          <s v="&lt;8/27/2024"/>
          <s v="2024"/>
          <s v="2025"/>
          <s v="&gt;6/1/2025"/>
        </groupItems>
      </fieldGroup>
    </cacheField>
  </cacheFields>
  <extLst>
    <ext xmlns:x14="http://schemas.microsoft.com/office/spreadsheetml/2009/9/main" uri="{725AE2AE-9491-48be-B2B4-4EB974FC3084}">
      <x14:pivotCacheDefinition pivotCacheId="8286971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N. Faisal" refreshedDate="45895.676574421297" createdVersion="8" refreshedVersion="8" minRefreshableVersion="3" recordCount="1363" xr:uid="{E3C5FED0-2266-42BE-BF67-0EF13556B055}">
  <cacheSource type="worksheet">
    <worksheetSource name="Table2"/>
  </cacheSource>
  <cacheFields count="10">
    <cacheField name="product_name" numFmtId="0">
      <sharedItems count="114">
        <s v="alpha chem "/>
        <s v="lambada 250 5%"/>
        <s v="vita max"/>
        <s v="ormactin 100"/>
        <s v="rat killer "/>
        <s v="chloro 250 "/>
        <s v="ثيوفيت "/>
        <s v="حبوب قمح "/>
        <s v="supercaid "/>
        <s v="ormactin 250 "/>
        <s v="twics"/>
        <s v="volvi"/>
        <s v="podim"/>
        <s v="strike "/>
        <s v="orsal 5"/>
        <s v="orsal 20 "/>
        <s v="rich phos"/>
        <s v="dimalin (120)"/>
        <s v="iso max "/>
        <s v="amino rich L "/>
        <s v="fort root "/>
        <s v="amino grow"/>
        <s v="m4"/>
        <s v="liroclim "/>
        <s v="max fert "/>
        <s v="nitro star"/>
        <s v="clio super"/>
        <s v="lofex "/>
        <s v="dimalin (40)"/>
        <s v="acetamore "/>
        <s v="chloro 500"/>
        <s v="overmil "/>
        <s v="proclim "/>
        <s v="lambada 10% "/>
        <s v="هاي تك كوسا "/>
        <s v="soap "/>
        <s v="ziglar "/>
        <s v="gaint r"/>
        <s v="Gesaprim "/>
        <s v="insects"/>
        <s v="orcal "/>
        <s v="caNo3"/>
        <s v="fibro max"/>
        <s v="حمض الفوسفوريك "/>
        <s v="imida "/>
        <s v="rozilex "/>
        <s v="lambada 500 5%"/>
        <s v="بنجر كس "/>
        <s v="فيرت فلاور "/>
        <s v="mgNo3"/>
        <s v="فوليار "/>
        <s v="اوكتان "/>
        <s v="زيت  نباتي "/>
        <s v="اميدور"/>
        <s v="تفراس "/>
        <s v="ماجيك سترات "/>
        <s v="فلورا "/>
        <s v="amino rich 500"/>
        <s v="cyto mg "/>
        <s v="هامر "/>
        <s v="tedron (1kg)"/>
        <s v="فيتا سيت "/>
        <s v="فوستيل بلس"/>
        <s v="Vector"/>
        <s v="CaNo3 yara"/>
        <s v="Vertcan"/>
        <s v="high bloom "/>
        <s v="copprim "/>
        <s v="fure anora (250)"/>
        <s v="fure anora (500)"/>
        <s v="pomo flor (250)"/>
        <s v="pomo flor (500)"/>
        <s v="power size (250)"/>
        <s v="power size (500)"/>
        <s v="stro k  (L)"/>
        <s v="concept k ( 500)"/>
        <s v="concept k (L)"/>
        <s v="oil( L)"/>
        <s v="فيرت فلاور  5"/>
        <s v="vita  max 500"/>
        <s v="بنجر اكس "/>
        <s v="profert"/>
        <s v="فورت جرين"/>
        <s v="بلانتك "/>
        <s v="فيوران"/>
        <s v="ساليتو كال"/>
        <s v="هليو سوبر "/>
        <s v="Royal chem"/>
        <s v="بيتا "/>
        <s v="هيومك"/>
        <s v="az "/>
        <s v="zn"/>
        <s v="رويال كيم "/>
        <s v="فيرت فلاور  20"/>
        <s v="fe"/>
        <s v="اوينست "/>
        <s v="tedron 42 .6.6"/>
        <s v="alpha corn "/>
        <s v="يوريا"/>
        <s v="tedron 10. 52.10"/>
        <s v="كبريت"/>
        <s v="actara"/>
        <s v="mn"/>
        <s v="ارب كالسيوم "/>
        <s v="الخيار"/>
        <s v="اسيتاجولد"/>
        <s v="فيرتكين"/>
        <s v="شوك ميل "/>
        <s v="moss"/>
        <s v="lambada 30%"/>
        <s v="ايريك"/>
        <s v="prokin"/>
        <s v="ديازينون"/>
        <s v="بروماكتين"/>
      </sharedItems>
    </cacheField>
    <cacheField name="quantity" numFmtId="0">
      <sharedItems containsSemiMixedTypes="0" containsString="0" containsNumber="1" minValue="0.04" maxValue="480"/>
    </cacheField>
    <cacheField name="unit_price" numFmtId="0">
      <sharedItems containsString="0" containsBlank="1" containsNumber="1" minValue="10" maxValue="3500"/>
    </cacheField>
    <cacheField name="total_price" numFmtId="1">
      <sharedItems containsSemiMixedTypes="0" containsString="0" containsNumber="1" minValue="0" maxValue="100800"/>
    </cacheField>
    <cacheField name="customer_type" numFmtId="0">
      <sharedItems/>
    </cacheField>
    <cacheField name="notes" numFmtId="0">
      <sharedItems containsBlank="1"/>
    </cacheField>
    <cacheField name="order_date" numFmtId="164">
      <sharedItems containsSemiMixedTypes="0" containsNonDate="0" containsDate="1" containsString="0" minDate="2024-08-27T00:00:00" maxDate="2025-08-27T00:00:00" count="271">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1T00:00:00"/>
        <d v="2024-09-22T00:00:00"/>
        <d v="2024-09-23T00:00:00"/>
        <d v="2024-09-24T00:00:00"/>
        <d v="2024-09-25T00:00:00"/>
        <d v="2024-09-26T00:00:00"/>
        <d v="2024-09-28T00:00:00"/>
        <d v="2024-09-29T00:00:00"/>
        <d v="2024-09-30T00:00:00"/>
        <d v="2024-10-01T00:00:00"/>
        <d v="2024-10-02T00:00:00"/>
        <d v="2024-10-03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5T00:00:00"/>
        <d v="2024-10-26T00:00:00"/>
        <d v="2024-10-27T00:00:00"/>
        <d v="2024-10-29T00:00:00"/>
        <d v="2024-10-31T00:00:00"/>
        <d v="2024-11-02T00:00:00"/>
        <d v="2024-11-03T00:00:00"/>
        <d v="2024-11-04T00:00:00"/>
        <d v="2024-11-05T00:00:00"/>
        <d v="2024-11-06T00:00:00"/>
        <d v="2024-11-07T00:00:00"/>
        <d v="2024-11-09T00:00:00"/>
        <d v="2024-11-11T00:00:00"/>
        <d v="2024-11-12T00:00:00"/>
        <d v="2024-11-13T00:00:00"/>
        <d v="2024-11-14T00:00:00"/>
        <d v="2024-11-16T00:00:00"/>
        <d v="2024-11-17T00:00:00"/>
        <d v="2024-11-18T00:00:00"/>
        <d v="2024-11-19T00:00:00"/>
        <d v="2024-11-20T00:00:00"/>
        <d v="2024-11-21T00:00:00"/>
        <d v="2024-11-23T00:00:00"/>
        <d v="2024-11-24T00:00:00"/>
        <d v="2024-11-25T00:00:00"/>
        <d v="2024-11-26T00:00:00"/>
        <d v="2024-11-27T00:00:00"/>
        <d v="2024-11-28T00:00:00"/>
        <d v="2024-11-30T00:00:00"/>
        <d v="2024-12-02T00:00:00"/>
        <d v="2024-12-03T00:00:00"/>
        <d v="2024-12-05T00:00:00"/>
        <d v="2024-12-07T00:00:00"/>
        <d v="2024-12-08T00:00:00"/>
        <d v="2024-12-09T00:00:00"/>
        <d v="2024-12-10T00:00:00"/>
        <d v="2024-12-12T00:00:00"/>
        <d v="2024-12-14T00:00:00"/>
        <d v="2024-12-15T00:00:00"/>
        <d v="2024-12-18T00:00:00"/>
        <d v="2024-12-22T00:00:00"/>
        <d v="2024-12-23T00:00:00"/>
        <d v="2024-12-24T00:00:00"/>
        <d v="2024-12-26T00:00:00"/>
        <d v="2024-12-27T00:00:00"/>
        <d v="2024-12-28T00:00:00"/>
        <d v="2024-12-29T00:00:00"/>
        <d v="2024-12-30T00:00:00"/>
        <d v="2024-12-31T00:00:00"/>
        <d v="2025-01-01T00:00:00"/>
        <d v="2025-01-04T00:00:00"/>
        <d v="2025-01-07T00:00:00"/>
        <d v="2025-01-08T00:00:00"/>
        <d v="2025-01-09T00:00:00"/>
        <d v="2025-01-11T00:00:00"/>
        <d v="2025-01-13T00:00:00"/>
        <d v="2025-01-14T00:00:00"/>
        <d v="2025-01-18T00:00:00"/>
        <d v="2025-01-19T00:00:00"/>
        <d v="2025-01-21T00:00:00"/>
        <d v="2025-01-22T00:00:00"/>
        <d v="2025-01-23T00:00:00"/>
        <d v="2025-01-25T00:00:00"/>
        <d v="2025-01-26T00:00:00"/>
        <d v="2025-01-27T00:00:00"/>
        <d v="2025-01-28T00:00:00"/>
        <d v="2025-01-29T00:00:00"/>
        <d v="2025-02-01T00:00:00"/>
        <d v="2025-02-02T00:00:00"/>
        <d v="2025-02-03T00:00:00"/>
        <d v="2025-02-04T00:00:00"/>
        <d v="2025-02-05T00:00:00"/>
        <d v="2025-02-08T00:00:00"/>
        <d v="2025-02-09T00:00:00"/>
        <d v="2025-02-11T00:00:00"/>
        <d v="2025-02-13T00:00:00"/>
        <d v="2025-02-15T00:00:00"/>
        <d v="2025-02-16T00:00:00"/>
        <d v="2025-02-17T00:00:00"/>
        <d v="2025-02-18T00:00:00"/>
        <d v="2025-02-19T00:00:00"/>
        <d v="2025-02-20T00:00:00"/>
        <d v="2025-02-22T00:00:00"/>
        <d v="2025-02-23T00:00:00"/>
        <d v="2025-02-25T00:00:00"/>
        <d v="2025-02-26T00:00:00"/>
        <d v="2025-02-27T00:00:00"/>
        <d v="2025-03-02T00:00:00"/>
        <d v="2025-03-03T00:00:00"/>
        <d v="2025-03-04T00:00:00"/>
        <d v="2025-03-05T00:00:00"/>
        <d v="2025-03-08T00:00:00"/>
        <d v="2025-03-09T00:00:00"/>
        <d v="2025-03-10T00:00:00"/>
        <d v="2025-03-11T00:00:00"/>
        <d v="2025-03-12T00:00:00"/>
        <d v="2025-03-13T00:00:00"/>
        <d v="2025-03-15T00:00:00"/>
        <d v="2025-03-19T00:00:00"/>
        <d v="2025-03-22T00:00:00"/>
        <d v="2025-03-24T00:00:00"/>
        <d v="2025-03-25T00:00:00"/>
        <d v="2025-03-26T00:00:00"/>
        <d v="2025-03-27T00:00:00"/>
        <d v="2025-04-03T00:00:00"/>
        <d v="2025-04-05T00:00:00"/>
        <d v="2025-04-06T00:00:00"/>
        <d v="2025-04-07T00:00:00"/>
        <d v="2025-04-08T00:00:00"/>
        <d v="2025-04-09T00:00:00"/>
        <d v="2025-04-10T00:00:00"/>
        <d v="2025-04-12T00:00:00"/>
        <d v="2025-04-14T00:00:00"/>
        <d v="2025-04-15T00:00:00"/>
        <d v="2025-04-16T00:00:00"/>
        <d v="2025-04-17T00:00:00"/>
        <d v="2025-04-19T00:00:00"/>
        <d v="2025-04-20T00:00:00"/>
        <d v="2025-04-21T00:00:00"/>
        <d v="2025-04-22T00:00:00"/>
        <d v="2025-04-23T00:00:00"/>
        <d v="2025-04-24T00:00:00"/>
        <d v="2025-04-26T00:00:00"/>
        <d v="2025-04-27T00:00:00"/>
        <d v="2025-04-28T00:00:00"/>
        <d v="2025-04-30T00:00:00"/>
        <d v="2025-05-01T00:00:00"/>
        <d v="2025-05-03T00:00:00"/>
        <d v="2025-05-04T00:00:00"/>
        <d v="2025-05-05T00:00:00"/>
        <d v="2025-05-06T00:00:00"/>
        <d v="2025-05-07T00:00:00"/>
        <d v="2025-05-08T00:00:00"/>
        <d v="2025-05-10T00:00:00"/>
        <d v="2025-05-11T00:00:00"/>
        <d v="2025-05-12T00:00:00"/>
        <d v="2025-05-13T00:00:00"/>
        <d v="2025-05-14T00:00:00"/>
        <d v="2025-05-15T00:00:00"/>
        <d v="2025-05-16T00:00:00"/>
        <d v="2025-05-17T00:00:00"/>
        <d v="2025-05-18T00:00:00"/>
        <d v="2025-05-19T00:00:00"/>
        <d v="2025-05-20T00:00:00"/>
        <d v="2025-05-21T00:00:00"/>
        <d v="2025-05-22T00:00:00"/>
        <d v="2025-05-24T00:00:00"/>
        <d v="2025-05-25T00:00:00"/>
        <d v="2025-05-27T00:00:00"/>
        <d v="2025-05-28T00:00:00"/>
        <d v="2025-05-29T00:00:00"/>
        <d v="2025-05-31T00:00:00"/>
        <d v="2025-06-01T00:00:00"/>
        <d v="2025-06-03T00:00:00"/>
        <d v="2025-06-04T00:00:00"/>
        <d v="2025-06-09T00:00:00"/>
        <d v="2025-06-10T00:00:00"/>
        <d v="2025-06-11T00:00:00"/>
        <d v="2025-06-12T00:00:00"/>
        <d v="2025-06-14T00:00:00"/>
        <d v="2025-06-15T00:00:00"/>
        <d v="2025-06-17T00:00:00"/>
        <d v="2025-06-19T00:00:00"/>
        <d v="2025-06-21T00:00:00"/>
        <d v="2025-06-22T00:00:00"/>
        <d v="2025-06-23T00:00:00"/>
        <d v="2025-06-24T00:00:00"/>
        <d v="2025-06-25T00:00:00"/>
        <d v="2025-06-26T00:00:00"/>
        <d v="2025-06-27T00:00:00"/>
        <d v="2025-06-28T00:00:00"/>
        <d v="2025-06-30T00:00:00"/>
        <d v="2025-07-01T00:00:00"/>
        <d v="2025-07-02T00:00:00"/>
        <d v="2025-07-03T00:00:00"/>
        <d v="2025-07-04T00:00:00"/>
        <d v="2025-07-05T00:00:00"/>
        <d v="2025-07-06T00:00:00"/>
        <d v="2025-07-07T00:00:00"/>
        <d v="2025-07-08T00:00:00"/>
        <d v="2025-07-09T00:00:00"/>
        <d v="2025-07-10T00:00:00"/>
        <d v="2025-07-12T00:00:00"/>
        <d v="2025-07-13T00:00:00"/>
        <d v="2025-07-14T00:00:00"/>
        <d v="2025-07-15T00:00:00"/>
        <d v="2025-07-16T00:00:00"/>
        <d v="2025-07-17T00:00:00"/>
        <d v="2025-07-19T00:00:00"/>
        <d v="2025-07-20T00:00:00"/>
        <d v="2025-07-21T00:00:00"/>
        <d v="2025-07-22T00:00:00"/>
        <d v="2025-07-23T00:00:00"/>
        <d v="2025-07-24T00:00:00"/>
        <d v="2025-07-26T00:00:00"/>
        <d v="2025-07-27T00:00:00"/>
        <d v="2025-07-28T00:00:00"/>
        <d v="2025-07-29T00:00:00"/>
        <d v="2025-07-30T00:00:00"/>
        <d v="2025-07-31T00:00:00"/>
        <d v="2025-08-02T00:00:00"/>
        <d v="2025-08-03T00:00:00"/>
        <d v="2025-08-04T00:00:00"/>
        <d v="2025-08-07T00:00:00"/>
        <d v="2025-08-09T00:00:00"/>
        <d v="2025-08-10T00:00:00"/>
        <d v="2025-08-11T00:00:00"/>
        <d v="2025-08-12T00:00:00"/>
        <d v="2025-08-13T00:00:00"/>
        <d v="2025-08-14T00:00:00"/>
        <d v="2025-08-16T00:00:00"/>
        <d v="2025-08-17T00:00:00"/>
        <d v="2025-08-18T00:00:00"/>
        <d v="2025-08-19T00:00:00"/>
        <d v="2025-08-21T00:00:00"/>
        <d v="2025-08-23T00:00:00"/>
        <d v="2025-08-24T00:00:00"/>
        <d v="2025-08-25T00:00:00"/>
        <d v="2025-08-26T00:00:00"/>
      </sharedItems>
      <fieldGroup par="9"/>
    </cacheField>
    <cacheField name="Months (order_date)" numFmtId="0" databaseField="0">
      <fieldGroup base="6">
        <rangePr groupBy="months" startDate="2024-08-27T00:00:00" endDate="2025-08-27T00:00:00"/>
        <groupItems count="14">
          <s v="&lt;8/27/2024"/>
          <s v="Jan"/>
          <s v="Feb"/>
          <s v="Mar"/>
          <s v="Apr"/>
          <s v="May"/>
          <s v="Jun"/>
          <s v="Jul"/>
          <s v="Aug"/>
          <s v="Sep"/>
          <s v="Oct"/>
          <s v="Nov"/>
          <s v="Dec"/>
          <s v="&gt;8/27/2025"/>
        </groupItems>
      </fieldGroup>
    </cacheField>
    <cacheField name="Quarters (order_date)" numFmtId="0" databaseField="0">
      <fieldGroup base="6">
        <rangePr groupBy="quarters" startDate="2024-08-27T00:00:00" endDate="2025-08-27T00:00:00"/>
        <groupItems count="6">
          <s v="&lt;8/27/2024"/>
          <s v="Qtr1"/>
          <s v="Qtr2"/>
          <s v="Qtr3"/>
          <s v="Qtr4"/>
          <s v="&gt;8/27/2025"/>
        </groupItems>
      </fieldGroup>
    </cacheField>
    <cacheField name="Years (order_date)" numFmtId="0" databaseField="0">
      <fieldGroup base="6">
        <rangePr groupBy="years" startDate="2024-08-27T00:00:00" endDate="2025-08-27T00:00:00"/>
        <groupItems count="4">
          <s v="&lt;8/27/2024"/>
          <s v="2024"/>
          <s v="2025"/>
          <s v="&gt;8/2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6">
  <r>
    <x v="0"/>
    <n v="1"/>
    <n v="350"/>
    <n v="350"/>
    <x v="0"/>
    <m/>
    <x v="0"/>
  </r>
  <r>
    <x v="1"/>
    <n v="1"/>
    <n v="280"/>
    <n v="280"/>
    <x v="0"/>
    <m/>
    <x v="0"/>
  </r>
  <r>
    <x v="0"/>
    <n v="1"/>
    <n v="350"/>
    <n v="350"/>
    <x v="0"/>
    <m/>
    <x v="0"/>
  </r>
  <r>
    <x v="2"/>
    <n v="1"/>
    <n v="100"/>
    <n v="100"/>
    <x v="0"/>
    <m/>
    <x v="0"/>
  </r>
  <r>
    <x v="3"/>
    <n v="1"/>
    <n v="280"/>
    <n v="280"/>
    <x v="0"/>
    <m/>
    <x v="0"/>
  </r>
  <r>
    <x v="4"/>
    <n v="1"/>
    <n v="20"/>
    <n v="20"/>
    <x v="0"/>
    <m/>
    <x v="1"/>
  </r>
  <r>
    <x v="5"/>
    <n v="2"/>
    <n v="350"/>
    <n v="700"/>
    <x v="0"/>
    <m/>
    <x v="2"/>
  </r>
  <r>
    <x v="2"/>
    <n v="2"/>
    <n v="130"/>
    <n v="260"/>
    <x v="0"/>
    <m/>
    <x v="2"/>
  </r>
  <r>
    <x v="6"/>
    <n v="1"/>
    <n v="350"/>
    <n v="350"/>
    <x v="0"/>
    <m/>
    <x v="2"/>
  </r>
  <r>
    <x v="7"/>
    <n v="2"/>
    <n v="20"/>
    <n v="40"/>
    <x v="0"/>
    <m/>
    <x v="3"/>
  </r>
  <r>
    <x v="8"/>
    <n v="1"/>
    <n v="40"/>
    <n v="40"/>
    <x v="0"/>
    <m/>
    <x v="3"/>
  </r>
  <r>
    <x v="9"/>
    <n v="1"/>
    <n v="320"/>
    <n v="320"/>
    <x v="0"/>
    <s v="آجل"/>
    <x v="3"/>
  </r>
  <r>
    <x v="2"/>
    <n v="1"/>
    <n v="100"/>
    <n v="100"/>
    <x v="0"/>
    <m/>
    <x v="3"/>
  </r>
  <r>
    <x v="1"/>
    <n v="1"/>
    <n v="230"/>
    <n v="230"/>
    <x v="0"/>
    <m/>
    <x v="4"/>
  </r>
  <r>
    <x v="10"/>
    <n v="35"/>
    <n v="480"/>
    <n v="16800"/>
    <x v="1"/>
    <s v="آجل"/>
    <x v="4"/>
  </r>
  <r>
    <x v="11"/>
    <n v="35"/>
    <n v="450"/>
    <n v="15750"/>
    <x v="1"/>
    <s v="آجل"/>
    <x v="4"/>
  </r>
  <r>
    <x v="12"/>
    <n v="10"/>
    <n v="250"/>
    <n v="2500"/>
    <x v="1"/>
    <s v="آجل"/>
    <x v="4"/>
  </r>
  <r>
    <x v="6"/>
    <n v="12"/>
    <n v="250"/>
    <n v="3000"/>
    <x v="1"/>
    <s v="آجل"/>
    <x v="4"/>
  </r>
  <r>
    <x v="13"/>
    <n v="24"/>
    <n v="750"/>
    <n v="18000"/>
    <x v="1"/>
    <s v="آجل"/>
    <x v="4"/>
  </r>
  <r>
    <x v="14"/>
    <n v="16"/>
    <n v="360"/>
    <n v="5760"/>
    <x v="1"/>
    <s v="آجل"/>
    <x v="4"/>
  </r>
  <r>
    <x v="15"/>
    <n v="5"/>
    <n v="1280"/>
    <n v="6400"/>
    <x v="1"/>
    <s v="آجل"/>
    <x v="4"/>
  </r>
  <r>
    <x v="16"/>
    <n v="8"/>
    <n v="420"/>
    <n v="3360"/>
    <x v="1"/>
    <s v="آجل"/>
    <x v="4"/>
  </r>
  <r>
    <x v="0"/>
    <n v="20"/>
    <n v="350"/>
    <n v="7000"/>
    <x v="1"/>
    <s v="آجل"/>
    <x v="4"/>
  </r>
  <r>
    <x v="17"/>
    <n v="20"/>
    <n v="230"/>
    <n v="4600"/>
    <x v="1"/>
    <s v="آجل"/>
    <x v="4"/>
  </r>
  <r>
    <x v="3"/>
    <n v="30"/>
    <n v="180"/>
    <n v="5400"/>
    <x v="1"/>
    <s v="آجل"/>
    <x v="4"/>
  </r>
  <r>
    <x v="18"/>
    <n v="12"/>
    <n v="270"/>
    <n v="3240"/>
    <x v="1"/>
    <s v="آجل"/>
    <x v="4"/>
  </r>
  <r>
    <x v="19"/>
    <n v="12"/>
    <n v="280"/>
    <n v="3360"/>
    <x v="1"/>
    <s v="آجل"/>
    <x v="4"/>
  </r>
  <r>
    <x v="20"/>
    <n v="12"/>
    <n v="300"/>
    <n v="3600"/>
    <x v="1"/>
    <s v="آجل"/>
    <x v="4"/>
  </r>
  <r>
    <x v="21"/>
    <n v="12"/>
    <n v="300"/>
    <n v="3600"/>
    <x v="1"/>
    <s v="آجل"/>
    <x v="4"/>
  </r>
  <r>
    <x v="5"/>
    <n v="15"/>
    <n v="230"/>
    <n v="3450"/>
    <x v="1"/>
    <s v="آجل"/>
    <x v="4"/>
  </r>
  <r>
    <x v="22"/>
    <n v="30"/>
    <n v="160"/>
    <n v="4800"/>
    <x v="1"/>
    <s v="آجل"/>
    <x v="4"/>
  </r>
  <r>
    <x v="1"/>
    <n v="20"/>
    <n v="230"/>
    <n v="4600"/>
    <x v="1"/>
    <s v="آجل"/>
    <x v="4"/>
  </r>
  <r>
    <x v="23"/>
    <n v="20"/>
    <n v="200"/>
    <n v="4000"/>
    <x v="1"/>
    <s v="آجل"/>
    <x v="4"/>
  </r>
  <r>
    <x v="24"/>
    <n v="10"/>
    <n v="1200"/>
    <n v="12000"/>
    <x v="1"/>
    <s v="آجل"/>
    <x v="4"/>
  </r>
  <r>
    <x v="25"/>
    <n v="10"/>
    <n v="650"/>
    <n v="6500"/>
    <x v="1"/>
    <s v="آجل"/>
    <x v="4"/>
  </r>
  <r>
    <x v="26"/>
    <n v="30"/>
    <n v="420"/>
    <n v="12600"/>
    <x v="1"/>
    <s v="آجل"/>
    <x v="4"/>
  </r>
  <r>
    <x v="27"/>
    <n v="1"/>
    <n v="200"/>
    <n v="200"/>
    <x v="0"/>
    <m/>
    <x v="5"/>
  </r>
  <r>
    <x v="23"/>
    <n v="1"/>
    <n v="200"/>
    <n v="200"/>
    <x v="0"/>
    <m/>
    <x v="5"/>
  </r>
  <r>
    <x v="28"/>
    <n v="1"/>
    <n v="200"/>
    <n v="200"/>
    <x v="0"/>
    <m/>
    <x v="5"/>
  </r>
  <r>
    <x v="8"/>
    <n v="1"/>
    <n v="35"/>
    <n v="35"/>
    <x v="0"/>
    <m/>
    <x v="5"/>
  </r>
  <r>
    <x v="3"/>
    <n v="1"/>
    <n v="170"/>
    <n v="170"/>
    <x v="0"/>
    <m/>
    <x v="5"/>
  </r>
  <r>
    <x v="14"/>
    <n v="18"/>
    <n v="370"/>
    <n v="6660"/>
    <x v="2"/>
    <m/>
    <x v="5"/>
  </r>
  <r>
    <x v="13"/>
    <n v="10"/>
    <n v="780"/>
    <n v="7800"/>
    <x v="2"/>
    <m/>
    <x v="5"/>
  </r>
  <r>
    <x v="2"/>
    <n v="1"/>
    <n v="70"/>
    <n v="70"/>
    <x v="0"/>
    <m/>
    <x v="6"/>
  </r>
  <r>
    <x v="29"/>
    <n v="1"/>
    <n v="60"/>
    <n v="60"/>
    <x v="0"/>
    <m/>
    <x v="6"/>
  </r>
  <r>
    <x v="3"/>
    <n v="1"/>
    <n v="150"/>
    <n v="150"/>
    <x v="0"/>
    <m/>
    <x v="6"/>
  </r>
  <r>
    <x v="20"/>
    <n v="1"/>
    <n v="250"/>
    <n v="250"/>
    <x v="0"/>
    <m/>
    <x v="6"/>
  </r>
  <r>
    <x v="7"/>
    <n v="1"/>
    <n v="20"/>
    <n v="20"/>
    <x v="0"/>
    <m/>
    <x v="6"/>
  </r>
  <r>
    <x v="26"/>
    <n v="1"/>
    <n v="250"/>
    <n v="250"/>
    <x v="0"/>
    <m/>
    <x v="6"/>
  </r>
  <r>
    <x v="23"/>
    <n v="1"/>
    <n v="150"/>
    <n v="150"/>
    <x v="0"/>
    <m/>
    <x v="6"/>
  </r>
  <r>
    <x v="28"/>
    <n v="1"/>
    <n v="150"/>
    <n v="150"/>
    <x v="0"/>
    <m/>
    <x v="6"/>
  </r>
  <r>
    <x v="27"/>
    <n v="1"/>
    <n v="150"/>
    <n v="150"/>
    <x v="0"/>
    <m/>
    <x v="6"/>
  </r>
  <r>
    <x v="3"/>
    <n v="1"/>
    <n v="180"/>
    <n v="180"/>
    <x v="0"/>
    <m/>
    <x v="6"/>
  </r>
  <r>
    <x v="9"/>
    <n v="1"/>
    <n v="250"/>
    <n v="250"/>
    <x v="0"/>
    <m/>
    <x v="6"/>
  </r>
  <r>
    <x v="26"/>
    <n v="1"/>
    <n v="350"/>
    <n v="350"/>
    <x v="0"/>
    <m/>
    <x v="6"/>
  </r>
  <r>
    <x v="4"/>
    <n v="2"/>
    <n v="20"/>
    <n v="40"/>
    <x v="0"/>
    <m/>
    <x v="7"/>
  </r>
  <r>
    <x v="30"/>
    <n v="4"/>
    <n v="300"/>
    <n v="1200"/>
    <x v="0"/>
    <m/>
    <x v="7"/>
  </r>
  <r>
    <x v="9"/>
    <n v="1"/>
    <n v="200"/>
    <n v="200"/>
    <x v="0"/>
    <m/>
    <x v="7"/>
  </r>
  <r>
    <x v="5"/>
    <n v="1"/>
    <n v="200"/>
    <n v="200"/>
    <x v="0"/>
    <m/>
    <x v="7"/>
  </r>
  <r>
    <x v="27"/>
    <n v="1"/>
    <n v="100"/>
    <n v="100"/>
    <x v="0"/>
    <m/>
    <x v="7"/>
  </r>
  <r>
    <x v="23"/>
    <n v="1"/>
    <n v="150"/>
    <n v="150"/>
    <x v="0"/>
    <s v="آجل"/>
    <x v="7"/>
  </r>
  <r>
    <x v="9"/>
    <n v="1"/>
    <n v="180"/>
    <n v="180"/>
    <x v="0"/>
    <m/>
    <x v="7"/>
  </r>
  <r>
    <x v="2"/>
    <n v="1"/>
    <n v="70"/>
    <n v="70"/>
    <x v="0"/>
    <m/>
    <x v="7"/>
  </r>
  <r>
    <x v="28"/>
    <n v="1"/>
    <n v="100"/>
    <n v="100"/>
    <x v="0"/>
    <m/>
    <x v="8"/>
  </r>
  <r>
    <x v="3"/>
    <n v="1"/>
    <n v="120"/>
    <n v="120"/>
    <x v="0"/>
    <m/>
    <x v="8"/>
  </r>
  <r>
    <x v="27"/>
    <n v="1"/>
    <n v="100"/>
    <n v="100"/>
    <x v="0"/>
    <m/>
    <x v="8"/>
  </r>
  <r>
    <x v="23"/>
    <n v="1"/>
    <n v="100"/>
    <n v="100"/>
    <x v="0"/>
    <m/>
    <x v="8"/>
  </r>
  <r>
    <x v="26"/>
    <n v="1"/>
    <n v="350"/>
    <n v="350"/>
    <x v="0"/>
    <m/>
    <x v="8"/>
  </r>
  <r>
    <x v="28"/>
    <n v="1"/>
    <n v="100"/>
    <n v="100"/>
    <x v="0"/>
    <m/>
    <x v="8"/>
  </r>
  <r>
    <x v="27"/>
    <n v="1"/>
    <n v="100"/>
    <n v="100"/>
    <x v="0"/>
    <m/>
    <x v="8"/>
  </r>
  <r>
    <x v="1"/>
    <n v="1"/>
    <n v="150"/>
    <n v="150"/>
    <x v="0"/>
    <m/>
    <x v="8"/>
  </r>
  <r>
    <x v="30"/>
    <n v="1"/>
    <n v="150"/>
    <n v="150"/>
    <x v="0"/>
    <m/>
    <x v="8"/>
  </r>
  <r>
    <x v="10"/>
    <n v="1"/>
    <n v="100"/>
    <n v="100"/>
    <x v="0"/>
    <m/>
    <x v="8"/>
  </r>
  <r>
    <x v="11"/>
    <n v="0.5"/>
    <n v="90"/>
    <n v="45"/>
    <x v="0"/>
    <m/>
    <x v="8"/>
  </r>
  <r>
    <x v="8"/>
    <n v="1"/>
    <n v="40"/>
    <n v="40"/>
    <x v="0"/>
    <m/>
    <x v="8"/>
  </r>
  <r>
    <x v="4"/>
    <n v="1"/>
    <n v="20"/>
    <n v="20"/>
    <x v="0"/>
    <m/>
    <x v="8"/>
  </r>
  <r>
    <x v="27"/>
    <n v="1"/>
    <n v="100"/>
    <n v="100"/>
    <x v="0"/>
    <m/>
    <x v="8"/>
  </r>
  <r>
    <x v="3"/>
    <n v="1"/>
    <n v="150"/>
    <n v="150"/>
    <x v="0"/>
    <m/>
    <x v="8"/>
  </r>
  <r>
    <x v="3"/>
    <n v="1"/>
    <n v="75"/>
    <n v="75"/>
    <x v="0"/>
    <m/>
    <x v="9"/>
  </r>
  <r>
    <x v="23"/>
    <n v="1"/>
    <n v="75"/>
    <n v="75"/>
    <x v="0"/>
    <m/>
    <x v="9"/>
  </r>
  <r>
    <x v="2"/>
    <n v="1"/>
    <n v="80"/>
    <n v="80"/>
    <x v="0"/>
    <m/>
    <x v="9"/>
  </r>
  <r>
    <x v="10"/>
    <n v="1.25"/>
    <n v="80"/>
    <n v="100"/>
    <x v="0"/>
    <m/>
    <x v="9"/>
  </r>
  <r>
    <x v="11"/>
    <n v="1"/>
    <n v="60"/>
    <n v="60"/>
    <x v="0"/>
    <m/>
    <x v="9"/>
  </r>
  <r>
    <x v="31"/>
    <n v="2"/>
    <n v="40"/>
    <n v="80"/>
    <x v="0"/>
    <m/>
    <x v="9"/>
  </r>
  <r>
    <x v="7"/>
    <n v="10"/>
    <n v="15"/>
    <n v="150"/>
    <x v="0"/>
    <m/>
    <x v="10"/>
  </r>
  <r>
    <x v="1"/>
    <n v="1"/>
    <n v="110"/>
    <n v="110"/>
    <x v="0"/>
    <m/>
    <x v="10"/>
  </r>
  <r>
    <x v="32"/>
    <n v="1"/>
    <n v="50"/>
    <n v="50"/>
    <x v="0"/>
    <m/>
    <x v="10"/>
  </r>
  <r>
    <x v="27"/>
    <n v="1"/>
    <n v="100"/>
    <n v="100"/>
    <x v="0"/>
    <m/>
    <x v="10"/>
  </r>
  <r>
    <x v="28"/>
    <n v="2"/>
    <n v="100"/>
    <n v="200"/>
    <x v="0"/>
    <m/>
    <x v="10"/>
  </r>
  <r>
    <x v="32"/>
    <n v="1"/>
    <n v="50"/>
    <n v="50"/>
    <x v="0"/>
    <m/>
    <x v="10"/>
  </r>
  <r>
    <x v="33"/>
    <n v="1"/>
    <n v="100"/>
    <n v="100"/>
    <x v="0"/>
    <m/>
    <x v="10"/>
  </r>
  <r>
    <x v="33"/>
    <n v="3"/>
    <n v="130"/>
    <n v="390"/>
    <x v="0"/>
    <m/>
    <x v="10"/>
  </r>
  <r>
    <x v="7"/>
    <n v="2"/>
    <n v="15"/>
    <n v="30"/>
    <x v="0"/>
    <m/>
    <x v="10"/>
  </r>
  <r>
    <x v="3"/>
    <n v="1"/>
    <n v="110"/>
    <n v="110"/>
    <x v="0"/>
    <m/>
    <x v="11"/>
  </r>
  <r>
    <x v="32"/>
    <n v="2"/>
    <n v="70"/>
    <n v="140"/>
    <x v="0"/>
    <m/>
    <x v="11"/>
  </r>
  <r>
    <x v="2"/>
    <n v="2"/>
    <n v="50"/>
    <n v="100"/>
    <x v="0"/>
    <m/>
    <x v="11"/>
  </r>
  <r>
    <x v="7"/>
    <n v="2"/>
    <n v="15"/>
    <n v="30"/>
    <x v="0"/>
    <m/>
    <x v="12"/>
  </r>
  <r>
    <x v="23"/>
    <n v="1"/>
    <n v="70"/>
    <n v="70"/>
    <x v="0"/>
    <m/>
    <x v="12"/>
  </r>
  <r>
    <x v="34"/>
    <n v="3"/>
    <n v="80"/>
    <n v="240"/>
    <x v="0"/>
    <m/>
    <x v="12"/>
  </r>
  <r>
    <x v="30"/>
    <n v="1"/>
    <n v="250"/>
    <n v="250"/>
    <x v="0"/>
    <m/>
    <x v="12"/>
  </r>
  <r>
    <x v="34"/>
    <n v="1"/>
    <n v="80"/>
    <n v="80"/>
    <x v="0"/>
    <m/>
    <x v="13"/>
  </r>
  <r>
    <x v="5"/>
    <n v="1"/>
    <n v="160"/>
    <n v="160"/>
    <x v="0"/>
    <m/>
    <x v="13"/>
  </r>
  <r>
    <x v="10"/>
    <n v="1"/>
    <n v="100"/>
    <n v="100"/>
    <x v="0"/>
    <m/>
    <x v="13"/>
  </r>
  <r>
    <x v="11"/>
    <n v="1"/>
    <n v="100"/>
    <n v="100"/>
    <x v="0"/>
    <m/>
    <x v="13"/>
  </r>
  <r>
    <x v="5"/>
    <n v="1"/>
    <n v="180"/>
    <n v="180"/>
    <x v="0"/>
    <m/>
    <x v="13"/>
  </r>
  <r>
    <x v="6"/>
    <n v="1"/>
    <n v="170"/>
    <n v="170"/>
    <x v="0"/>
    <m/>
    <x v="13"/>
  </r>
  <r>
    <x v="3"/>
    <n v="1"/>
    <n v="200"/>
    <n v="200"/>
    <x v="0"/>
    <m/>
    <x v="13"/>
  </r>
  <r>
    <x v="30"/>
    <n v="2"/>
    <n v="250"/>
    <n v="500"/>
    <x v="0"/>
    <m/>
    <x v="14"/>
  </r>
  <r>
    <x v="23"/>
    <n v="1"/>
    <n v="50"/>
    <n v="50"/>
    <x v="0"/>
    <m/>
    <x v="14"/>
  </r>
  <r>
    <x v="27"/>
    <n v="1"/>
    <n v="100"/>
    <n v="100"/>
    <x v="0"/>
    <m/>
    <x v="14"/>
  </r>
  <r>
    <x v="28"/>
    <n v="1"/>
    <n v="100"/>
    <n v="100"/>
    <x v="0"/>
    <m/>
    <x v="14"/>
  </r>
  <r>
    <x v="4"/>
    <n v="1"/>
    <n v="15"/>
    <n v="15"/>
    <x v="0"/>
    <m/>
    <x v="14"/>
  </r>
  <r>
    <x v="34"/>
    <n v="1"/>
    <n v="80"/>
    <n v="80"/>
    <x v="0"/>
    <m/>
    <x v="14"/>
  </r>
  <r>
    <x v="30"/>
    <n v="3"/>
    <n v="300"/>
    <n v="900"/>
    <x v="0"/>
    <s v="آجل"/>
    <x v="15"/>
  </r>
  <r>
    <x v="3"/>
    <n v="1"/>
    <n v="120"/>
    <n v="120"/>
    <x v="0"/>
    <m/>
    <x v="15"/>
  </r>
  <r>
    <x v="5"/>
    <n v="1"/>
    <n v="100"/>
    <n v="100"/>
    <x v="0"/>
    <m/>
    <x v="16"/>
  </r>
  <r>
    <x v="30"/>
    <n v="1"/>
    <n v="100"/>
    <n v="100"/>
    <x v="0"/>
    <m/>
    <x v="16"/>
  </r>
  <r>
    <x v="35"/>
    <n v="4"/>
    <n v="100"/>
    <n v="400"/>
    <x v="0"/>
    <m/>
    <x v="16"/>
  </r>
  <r>
    <x v="31"/>
    <n v="3"/>
    <n v="45"/>
    <n v="135"/>
    <x v="0"/>
    <m/>
    <x v="16"/>
  </r>
  <r>
    <x v="5"/>
    <n v="1"/>
    <n v="150"/>
    <n v="150"/>
    <x v="0"/>
    <m/>
    <x v="16"/>
  </r>
  <r>
    <x v="1"/>
    <n v="1"/>
    <n v="100"/>
    <n v="100"/>
    <x v="0"/>
    <m/>
    <x v="16"/>
  </r>
  <r>
    <x v="23"/>
    <n v="1"/>
    <n v="50"/>
    <n v="50"/>
    <x v="0"/>
    <m/>
    <x v="16"/>
  </r>
  <r>
    <x v="3"/>
    <n v="1"/>
    <n v="100"/>
    <n v="100"/>
    <x v="0"/>
    <m/>
    <x v="16"/>
  </r>
  <r>
    <x v="32"/>
    <n v="1"/>
    <n v="50"/>
    <n v="50"/>
    <x v="0"/>
    <m/>
    <x v="16"/>
  </r>
  <r>
    <x v="27"/>
    <n v="1"/>
    <n v="100"/>
    <n v="100"/>
    <x v="0"/>
    <m/>
    <x v="16"/>
  </r>
  <r>
    <x v="4"/>
    <n v="2"/>
    <n v="15"/>
    <n v="30"/>
    <x v="0"/>
    <m/>
    <x v="16"/>
  </r>
  <r>
    <x v="32"/>
    <n v="1"/>
    <n v="70"/>
    <n v="70"/>
    <x v="0"/>
    <m/>
    <x v="17"/>
  </r>
  <r>
    <x v="4"/>
    <n v="1"/>
    <n v="15"/>
    <n v="15"/>
    <x v="0"/>
    <m/>
    <x v="17"/>
  </r>
  <r>
    <x v="33"/>
    <n v="1"/>
    <n v="100"/>
    <n v="100"/>
    <x v="0"/>
    <m/>
    <x v="18"/>
  </r>
  <r>
    <x v="32"/>
    <n v="1"/>
    <n v="100"/>
    <n v="100"/>
    <x v="0"/>
    <m/>
    <x v="18"/>
  </r>
  <r>
    <x v="0"/>
    <n v="20"/>
    <n v="250"/>
    <n v="5000"/>
    <x v="3"/>
    <s v="آجل"/>
    <x v="18"/>
  </r>
  <r>
    <x v="23"/>
    <n v="30"/>
    <n v="70"/>
    <n v="2100"/>
    <x v="3"/>
    <s v="آجل"/>
    <x v="18"/>
  </r>
  <r>
    <x v="36"/>
    <n v="1"/>
    <n v="350"/>
    <n v="350"/>
    <x v="0"/>
    <m/>
    <x v="19"/>
  </r>
  <r>
    <x v="5"/>
    <n v="1"/>
    <n v="150"/>
    <n v="150"/>
    <x v="0"/>
    <m/>
    <x v="19"/>
  </r>
  <r>
    <x v="37"/>
    <n v="1"/>
    <n v="250"/>
    <n v="250"/>
    <x v="0"/>
    <m/>
    <x v="19"/>
  </r>
  <r>
    <x v="32"/>
    <n v="1"/>
    <n v="100"/>
    <n v="100"/>
    <x v="0"/>
    <m/>
    <x v="19"/>
  </r>
  <r>
    <x v="27"/>
    <n v="1"/>
    <n v="100"/>
    <n v="100"/>
    <x v="0"/>
    <m/>
    <x v="19"/>
  </r>
  <r>
    <x v="38"/>
    <n v="1"/>
    <n v="350"/>
    <n v="350"/>
    <x v="0"/>
    <m/>
    <x v="19"/>
  </r>
  <r>
    <x v="5"/>
    <n v="1"/>
    <n v="200"/>
    <n v="200"/>
    <x v="0"/>
    <m/>
    <x v="20"/>
  </r>
  <r>
    <x v="32"/>
    <n v="1"/>
    <n v="50"/>
    <n v="50"/>
    <x v="0"/>
    <m/>
    <x v="20"/>
  </r>
  <r>
    <x v="27"/>
    <n v="1"/>
    <n v="100"/>
    <n v="100"/>
    <x v="0"/>
    <m/>
    <x v="20"/>
  </r>
  <r>
    <x v="3"/>
    <n v="1"/>
    <n v="100"/>
    <n v="100"/>
    <x v="0"/>
    <m/>
    <x v="20"/>
  </r>
  <r>
    <x v="2"/>
    <n v="1"/>
    <n v="50"/>
    <n v="50"/>
    <x v="0"/>
    <s v="مرتجع "/>
    <x v="21"/>
  </r>
  <r>
    <x v="31"/>
    <n v="1"/>
    <n v="45"/>
    <n v="45"/>
    <x v="0"/>
    <m/>
    <x v="21"/>
  </r>
  <r>
    <x v="4"/>
    <n v="1"/>
    <n v="10"/>
    <n v="10"/>
    <x v="0"/>
    <m/>
    <x v="21"/>
  </r>
  <r>
    <x v="39"/>
    <n v="1"/>
    <n v="60"/>
    <n v="60"/>
    <x v="0"/>
    <m/>
    <x v="21"/>
  </r>
  <r>
    <x v="28"/>
    <n v="1"/>
    <n v="100"/>
    <n v="100"/>
    <x v="0"/>
    <m/>
    <x v="21"/>
  </r>
  <r>
    <x v="31"/>
    <n v="1"/>
    <n v="45"/>
    <n v="45"/>
    <x v="0"/>
    <m/>
    <x v="21"/>
  </r>
  <r>
    <x v="5"/>
    <n v="1"/>
    <n v="150"/>
    <n v="150"/>
    <x v="0"/>
    <m/>
    <x v="21"/>
  </r>
  <r>
    <x v="2"/>
    <n v="1"/>
    <n v="50"/>
    <n v="50"/>
    <x v="0"/>
    <m/>
    <x v="21"/>
  </r>
  <r>
    <x v="27"/>
    <n v="1"/>
    <n v="100"/>
    <n v="100"/>
    <x v="0"/>
    <m/>
    <x v="21"/>
  </r>
  <r>
    <x v="32"/>
    <n v="1"/>
    <n v="50"/>
    <n v="50"/>
    <x v="0"/>
    <m/>
    <x v="21"/>
  </r>
  <r>
    <x v="4"/>
    <n v="1"/>
    <n v="10"/>
    <n v="10"/>
    <x v="0"/>
    <m/>
    <x v="21"/>
  </r>
  <r>
    <x v="5"/>
    <n v="4"/>
    <n v="290"/>
    <n v="1160"/>
    <x v="0"/>
    <s v="آجل"/>
    <x v="21"/>
  </r>
  <r>
    <x v="30"/>
    <n v="3"/>
    <n v="145"/>
    <n v="435"/>
    <x v="0"/>
    <s v="آجل"/>
    <x v="21"/>
  </r>
  <r>
    <x v="32"/>
    <n v="1"/>
    <n v="50"/>
    <n v="50"/>
    <x v="0"/>
    <m/>
    <x v="22"/>
  </r>
  <r>
    <x v="27"/>
    <n v="1"/>
    <n v="100"/>
    <n v="100"/>
    <x v="0"/>
    <m/>
    <x v="22"/>
  </r>
  <r>
    <x v="28"/>
    <n v="1"/>
    <n v="100"/>
    <n v="100"/>
    <x v="0"/>
    <m/>
    <x v="22"/>
  </r>
  <r>
    <x v="3"/>
    <n v="1"/>
    <n v="100"/>
    <n v="100"/>
    <x v="0"/>
    <m/>
    <x v="22"/>
  </r>
  <r>
    <x v="2"/>
    <n v="1"/>
    <n v="80"/>
    <n v="80"/>
    <x v="0"/>
    <m/>
    <x v="22"/>
  </r>
  <r>
    <x v="40"/>
    <n v="1"/>
    <n v="250"/>
    <n v="250"/>
    <x v="0"/>
    <m/>
    <x v="22"/>
  </r>
  <r>
    <x v="32"/>
    <n v="1"/>
    <n v="50"/>
    <n v="50"/>
    <x v="0"/>
    <m/>
    <x v="23"/>
  </r>
  <r>
    <x v="27"/>
    <n v="1"/>
    <n v="100"/>
    <n v="100"/>
    <x v="0"/>
    <m/>
    <x v="23"/>
  </r>
  <r>
    <x v="28"/>
    <n v="1"/>
    <n v="100"/>
    <n v="100"/>
    <x v="0"/>
    <m/>
    <x v="23"/>
  </r>
  <r>
    <x v="40"/>
    <n v="1"/>
    <n v="250"/>
    <n v="250"/>
    <x v="0"/>
    <m/>
    <x v="23"/>
  </r>
  <r>
    <x v="10"/>
    <n v="2"/>
    <n v="50"/>
    <n v="100"/>
    <x v="0"/>
    <m/>
    <x v="23"/>
  </r>
  <r>
    <x v="11"/>
    <n v="1"/>
    <n v="80"/>
    <n v="80"/>
    <x v="0"/>
    <m/>
    <x v="23"/>
  </r>
  <r>
    <x v="5"/>
    <n v="1"/>
    <n v="180"/>
    <n v="180"/>
    <x v="0"/>
    <m/>
    <x v="23"/>
  </r>
  <r>
    <x v="5"/>
    <n v="5"/>
    <n v="200"/>
    <n v="1000"/>
    <x v="0"/>
    <m/>
    <x v="23"/>
  </r>
  <r>
    <x v="30"/>
    <n v="5"/>
    <n v="300"/>
    <n v="1500"/>
    <x v="0"/>
    <m/>
    <x v="23"/>
  </r>
  <r>
    <x v="30"/>
    <n v="25"/>
    <n v="400"/>
    <n v="10000"/>
    <x v="4"/>
    <s v="آجل"/>
    <x v="23"/>
  </r>
  <r>
    <x v="15"/>
    <n v="15"/>
    <n v="1400"/>
    <n v="21000"/>
    <x v="4"/>
    <s v="آجل"/>
    <x v="23"/>
  </r>
  <r>
    <x v="6"/>
    <n v="25"/>
    <n v="450"/>
    <n v="11250"/>
    <x v="4"/>
    <s v="آجل"/>
    <x v="23"/>
  </r>
  <r>
    <x v="11"/>
    <n v="12"/>
    <n v="550"/>
    <n v="6600"/>
    <x v="4"/>
    <s v="آجل"/>
    <x v="23"/>
  </r>
  <r>
    <x v="16"/>
    <n v="25"/>
    <n v="550"/>
    <n v="13750"/>
    <x v="4"/>
    <s v="آجل"/>
    <x v="23"/>
  </r>
  <r>
    <x v="2"/>
    <n v="48"/>
    <n v="75"/>
    <n v="3600"/>
    <x v="4"/>
    <s v="آجل"/>
    <x v="23"/>
  </r>
  <r>
    <x v="41"/>
    <n v="11"/>
    <n v="1250"/>
    <n v="13750"/>
    <x v="4"/>
    <s v="آجل"/>
    <x v="23"/>
  </r>
  <r>
    <x v="32"/>
    <n v="1"/>
    <n v="50"/>
    <n v="50"/>
    <x v="0"/>
    <m/>
    <x v="24"/>
  </r>
  <r>
    <x v="40"/>
    <n v="1"/>
    <n v="250"/>
    <n v="250"/>
    <x v="0"/>
    <m/>
    <x v="24"/>
  </r>
  <r>
    <x v="3"/>
    <n v="2"/>
    <n v="120"/>
    <n v="240"/>
    <x v="0"/>
    <m/>
    <x v="24"/>
  </r>
  <r>
    <x v="1"/>
    <n v="1"/>
    <n v="140"/>
    <n v="140"/>
    <x v="0"/>
    <m/>
    <x v="24"/>
  </r>
  <r>
    <x v="32"/>
    <n v="1"/>
    <n v="80"/>
    <n v="80"/>
    <x v="0"/>
    <m/>
    <x v="24"/>
  </r>
  <r>
    <x v="10"/>
    <n v="1"/>
    <n v="90"/>
    <n v="90"/>
    <x v="0"/>
    <m/>
    <x v="24"/>
  </r>
  <r>
    <x v="5"/>
    <n v="1"/>
    <n v="180"/>
    <n v="180"/>
    <x v="0"/>
    <m/>
    <x v="25"/>
  </r>
  <r>
    <x v="11"/>
    <n v="2"/>
    <n v="550"/>
    <n v="1100"/>
    <x v="0"/>
    <s v="آجل"/>
    <x v="25"/>
  </r>
  <r>
    <x v="33"/>
    <n v="1"/>
    <n v="130"/>
    <n v="130"/>
    <x v="0"/>
    <m/>
    <x v="25"/>
  </r>
  <r>
    <x v="32"/>
    <n v="1"/>
    <n v="70"/>
    <n v="70"/>
    <x v="0"/>
    <m/>
    <x v="25"/>
  </r>
  <r>
    <x v="32"/>
    <n v="1"/>
    <n v="100"/>
    <n v="100"/>
    <x v="0"/>
    <m/>
    <x v="26"/>
  </r>
  <r>
    <x v="28"/>
    <n v="1"/>
    <n v="100"/>
    <n v="100"/>
    <x v="0"/>
    <m/>
    <x v="26"/>
  </r>
  <r>
    <x v="3"/>
    <n v="1"/>
    <n v="100"/>
    <n v="100"/>
    <x v="0"/>
    <m/>
    <x v="26"/>
  </r>
  <r>
    <x v="32"/>
    <n v="1"/>
    <n v="50"/>
    <n v="50"/>
    <x v="0"/>
    <s v="آجل"/>
    <x v="26"/>
  </r>
  <r>
    <x v="27"/>
    <n v="1"/>
    <n v="100"/>
    <n v="100"/>
    <x v="0"/>
    <m/>
    <x v="26"/>
  </r>
  <r>
    <x v="28"/>
    <n v="1"/>
    <n v="100"/>
    <n v="100"/>
    <x v="0"/>
    <m/>
    <x v="26"/>
  </r>
  <r>
    <x v="31"/>
    <n v="1"/>
    <n v="50"/>
    <n v="50"/>
    <x v="0"/>
    <m/>
    <x v="26"/>
  </r>
  <r>
    <x v="5"/>
    <n v="1"/>
    <n v="150"/>
    <n v="150"/>
    <x v="0"/>
    <m/>
    <x v="26"/>
  </r>
  <r>
    <x v="42"/>
    <n v="1"/>
    <n v="50"/>
    <n v="50"/>
    <x v="0"/>
    <m/>
    <x v="26"/>
  </r>
  <r>
    <x v="10"/>
    <n v="2"/>
    <n v="80"/>
    <n v="160"/>
    <x v="0"/>
    <m/>
    <x v="27"/>
  </r>
  <r>
    <x v="11"/>
    <n v="1"/>
    <n v="80"/>
    <n v="80"/>
    <x v="0"/>
    <m/>
    <x v="27"/>
  </r>
  <r>
    <x v="3"/>
    <n v="1"/>
    <n v="120"/>
    <n v="120"/>
    <x v="0"/>
    <m/>
    <x v="27"/>
  </r>
  <r>
    <x v="11"/>
    <n v="1"/>
    <n v="530"/>
    <n v="530"/>
    <x v="0"/>
    <m/>
    <x v="27"/>
  </r>
  <r>
    <x v="37"/>
    <n v="1"/>
    <n v="350"/>
    <n v="350"/>
    <x v="0"/>
    <m/>
    <x v="27"/>
  </r>
  <r>
    <x v="40"/>
    <n v="1"/>
    <n v="300"/>
    <n v="300"/>
    <x v="0"/>
    <m/>
    <x v="27"/>
  </r>
  <r>
    <x v="10"/>
    <n v="1"/>
    <n v="400"/>
    <n v="400"/>
    <x v="0"/>
    <m/>
    <x v="28"/>
  </r>
  <r>
    <x v="11"/>
    <n v="3"/>
    <n v="80"/>
    <n v="240"/>
    <x v="0"/>
    <m/>
    <x v="28"/>
  </r>
  <r>
    <x v="13"/>
    <n v="3"/>
    <n v="750"/>
    <n v="2250"/>
    <x v="0"/>
    <m/>
    <x v="28"/>
  </r>
  <r>
    <x v="3"/>
    <n v="5"/>
    <n v="160"/>
    <n v="800"/>
    <x v="0"/>
    <m/>
    <x v="28"/>
  </r>
  <r>
    <x v="14"/>
    <n v="1"/>
    <n v="500"/>
    <n v="500"/>
    <x v="0"/>
    <m/>
    <x v="28"/>
  </r>
  <r>
    <x v="7"/>
    <n v="1"/>
    <n v="10"/>
    <n v="10"/>
    <x v="0"/>
    <m/>
    <x v="29"/>
  </r>
  <r>
    <x v="4"/>
    <n v="4"/>
    <n v="15"/>
    <n v="60"/>
    <x v="0"/>
    <m/>
    <x v="29"/>
  </r>
  <r>
    <x v="3"/>
    <n v="1"/>
    <n v="120"/>
    <n v="120"/>
    <x v="0"/>
    <m/>
    <x v="29"/>
  </r>
  <r>
    <x v="33"/>
    <n v="1"/>
    <n v="130"/>
    <n v="130"/>
    <x v="0"/>
    <m/>
    <x v="29"/>
  </r>
  <r>
    <x v="5"/>
    <n v="2"/>
    <n v="200"/>
    <n v="400"/>
    <x v="0"/>
    <m/>
    <x v="29"/>
  </r>
  <r>
    <x v="30"/>
    <n v="2"/>
    <n v="300"/>
    <n v="600"/>
    <x v="0"/>
    <m/>
    <x v="29"/>
  </r>
  <r>
    <x v="5"/>
    <n v="1"/>
    <n v="180"/>
    <n v="180"/>
    <x v="0"/>
    <m/>
    <x v="30"/>
  </r>
  <r>
    <x v="1"/>
    <n v="1"/>
    <n v="150"/>
    <n v="150"/>
    <x v="0"/>
    <m/>
    <x v="30"/>
  </r>
  <r>
    <x v="31"/>
    <n v="1"/>
    <n v="50"/>
    <n v="50"/>
    <x v="0"/>
    <m/>
    <x v="30"/>
  </r>
  <r>
    <x v="10"/>
    <n v="0.5"/>
    <n v="90"/>
    <n v="45"/>
    <x v="0"/>
    <m/>
    <x v="30"/>
  </r>
  <r>
    <x v="11"/>
    <n v="0.5"/>
    <n v="90"/>
    <n v="45"/>
    <x v="0"/>
    <m/>
    <x v="30"/>
  </r>
  <r>
    <x v="5"/>
    <n v="1"/>
    <n v="150"/>
    <n v="150"/>
    <x v="0"/>
    <m/>
    <x v="30"/>
  </r>
  <r>
    <x v="3"/>
    <n v="1"/>
    <n v="170"/>
    <n v="170"/>
    <x v="0"/>
    <m/>
    <x v="30"/>
  </r>
  <r>
    <x v="10"/>
    <n v="0.25"/>
    <n v="80"/>
    <n v="20"/>
    <x v="0"/>
    <m/>
    <x v="30"/>
  </r>
  <r>
    <x v="6"/>
    <n v="1"/>
    <n v="250"/>
    <n v="250"/>
    <x v="0"/>
    <m/>
    <x v="30"/>
  </r>
  <r>
    <x v="15"/>
    <n v="1"/>
    <n v="1300"/>
    <n v="1300"/>
    <x v="5"/>
    <s v="آجل"/>
    <x v="30"/>
  </r>
  <r>
    <x v="11"/>
    <n v="2"/>
    <n v="800"/>
    <n v="1600"/>
    <x v="5"/>
    <s v="آجل"/>
    <x v="30"/>
  </r>
  <r>
    <x v="16"/>
    <n v="2"/>
    <n v="500"/>
    <n v="1000"/>
    <x v="5"/>
    <s v="آجل"/>
    <x v="30"/>
  </r>
  <r>
    <x v="30"/>
    <n v="1"/>
    <n v="550"/>
    <n v="550"/>
    <x v="5"/>
    <s v="آجل"/>
    <x v="30"/>
  </r>
  <r>
    <x v="2"/>
    <n v="1"/>
    <n v="200"/>
    <n v="200"/>
    <x v="5"/>
    <s v="آجل"/>
    <x v="30"/>
  </r>
  <r>
    <x v="25"/>
    <n v="2"/>
    <n v="1250"/>
    <n v="2500"/>
    <x v="5"/>
    <s v="آجل"/>
    <x v="30"/>
  </r>
  <r>
    <x v="10"/>
    <n v="2"/>
    <n v="800"/>
    <n v="1600"/>
    <x v="5"/>
    <s v="آجل"/>
    <x v="30"/>
  </r>
  <r>
    <x v="20"/>
    <n v="1"/>
    <n v="500"/>
    <n v="500"/>
    <x v="5"/>
    <s v="آجل"/>
    <x v="30"/>
  </r>
  <r>
    <x v="19"/>
    <n v="1"/>
    <n v="500"/>
    <n v="500"/>
    <x v="5"/>
    <s v="آجل"/>
    <x v="30"/>
  </r>
  <r>
    <x v="5"/>
    <n v="2"/>
    <n v="350"/>
    <n v="700"/>
    <x v="5"/>
    <s v="آجل"/>
    <x v="30"/>
  </r>
  <r>
    <x v="14"/>
    <n v="1"/>
    <n v="500"/>
    <n v="500"/>
    <x v="5"/>
    <s v="آجل"/>
    <x v="30"/>
  </r>
  <r>
    <x v="9"/>
    <n v="1"/>
    <n v="450"/>
    <n v="450"/>
    <x v="5"/>
    <s v="آجل"/>
    <x v="30"/>
  </r>
  <r>
    <x v="3"/>
    <n v="1"/>
    <n v="220"/>
    <n v="220"/>
    <x v="5"/>
    <s v="آجل"/>
    <x v="30"/>
  </r>
  <r>
    <x v="43"/>
    <n v="1"/>
    <n v="1700"/>
    <n v="1700"/>
    <x v="5"/>
    <s v="آجل"/>
    <x v="30"/>
  </r>
  <r>
    <x v="24"/>
    <n v="1"/>
    <n v="1450"/>
    <n v="1450"/>
    <x v="5"/>
    <s v="آجل"/>
    <x v="30"/>
  </r>
  <r>
    <x v="12"/>
    <n v="2"/>
    <n v="400"/>
    <n v="800"/>
    <x v="5"/>
    <s v="آجل"/>
    <x v="30"/>
  </r>
  <r>
    <x v="44"/>
    <n v="2"/>
    <n v="350"/>
    <n v="700"/>
    <x v="5"/>
    <s v="آجل"/>
    <x v="30"/>
  </r>
  <r>
    <x v="31"/>
    <n v="1"/>
    <n v="50"/>
    <n v="50"/>
    <x v="0"/>
    <m/>
    <x v="31"/>
  </r>
  <r>
    <x v="27"/>
    <n v="1"/>
    <n v="100"/>
    <n v="100"/>
    <x v="0"/>
    <m/>
    <x v="31"/>
  </r>
  <r>
    <x v="32"/>
    <n v="1"/>
    <n v="100"/>
    <n v="100"/>
    <x v="0"/>
    <m/>
    <x v="31"/>
  </r>
  <r>
    <x v="45"/>
    <n v="1"/>
    <n v="230"/>
    <n v="230"/>
    <x v="0"/>
    <s v="آجل"/>
    <x v="31"/>
  </r>
  <r>
    <x v="32"/>
    <n v="1"/>
    <n v="70"/>
    <n v="70"/>
    <x v="0"/>
    <m/>
    <x v="31"/>
  </r>
  <r>
    <x v="4"/>
    <n v="2"/>
    <n v="20"/>
    <n v="40"/>
    <x v="0"/>
    <m/>
    <x v="31"/>
  </r>
  <r>
    <x v="7"/>
    <n v="8"/>
    <n v="15"/>
    <n v="120"/>
    <x v="0"/>
    <m/>
    <x v="32"/>
  </r>
  <r>
    <x v="4"/>
    <n v="1"/>
    <n v="20"/>
    <n v="20"/>
    <x v="0"/>
    <m/>
    <x v="32"/>
  </r>
  <r>
    <x v="7"/>
    <n v="3"/>
    <n v="15"/>
    <n v="45"/>
    <x v="0"/>
    <m/>
    <x v="32"/>
  </r>
  <r>
    <x v="32"/>
    <n v="1"/>
    <n v="100"/>
    <n v="100"/>
    <x v="0"/>
    <m/>
    <x v="32"/>
  </r>
  <r>
    <x v="28"/>
    <n v="1"/>
    <n v="100"/>
    <n v="100"/>
    <x v="0"/>
    <m/>
    <x v="32"/>
  </r>
  <r>
    <x v="27"/>
    <n v="1"/>
    <n v="100"/>
    <n v="100"/>
    <x v="0"/>
    <m/>
    <x v="32"/>
  </r>
  <r>
    <x v="5"/>
    <n v="1"/>
    <n v="140"/>
    <n v="140"/>
    <x v="0"/>
    <m/>
    <x v="32"/>
  </r>
  <r>
    <x v="30"/>
    <n v="1"/>
    <n v="300"/>
    <n v="300"/>
    <x v="0"/>
    <m/>
    <x v="32"/>
  </r>
  <r>
    <x v="46"/>
    <n v="1"/>
    <n v="150"/>
    <n v="150"/>
    <x v="0"/>
    <m/>
    <x v="32"/>
  </r>
  <r>
    <x v="1"/>
    <n v="1"/>
    <n v="120"/>
    <n v="120"/>
    <x v="0"/>
    <m/>
    <x v="33"/>
  </r>
  <r>
    <x v="4"/>
    <n v="1"/>
    <n v="15"/>
    <n v="15"/>
    <x v="0"/>
    <m/>
    <x v="33"/>
  </r>
  <r>
    <x v="11"/>
    <n v="1"/>
    <n v="80"/>
    <n v="80"/>
    <x v="0"/>
    <m/>
    <x v="33"/>
  </r>
  <r>
    <x v="27"/>
    <n v="6"/>
    <n v="100"/>
    <n v="600"/>
    <x v="0"/>
    <m/>
    <x v="33"/>
  </r>
  <r>
    <x v="32"/>
    <n v="6"/>
    <m/>
    <n v="0"/>
    <x v="0"/>
    <m/>
    <x v="33"/>
  </r>
  <r>
    <x v="12"/>
    <n v="1"/>
    <n v="300"/>
    <n v="300"/>
    <x v="0"/>
    <s v="آجل"/>
    <x v="33"/>
  </r>
  <r>
    <x v="4"/>
    <n v="1"/>
    <n v="15"/>
    <n v="15"/>
    <x v="0"/>
    <m/>
    <x v="33"/>
  </r>
  <r>
    <x v="33"/>
    <n v="1"/>
    <n v="130"/>
    <n v="130"/>
    <x v="0"/>
    <m/>
    <x v="33"/>
  </r>
  <r>
    <x v="32"/>
    <n v="1"/>
    <n v="90"/>
    <n v="90"/>
    <x v="0"/>
    <m/>
    <x v="33"/>
  </r>
  <r>
    <x v="32"/>
    <n v="1"/>
    <n v="80"/>
    <n v="80"/>
    <x v="0"/>
    <m/>
    <x v="34"/>
  </r>
  <r>
    <x v="27"/>
    <n v="1"/>
    <n v="100"/>
    <n v="100"/>
    <x v="0"/>
    <m/>
    <x v="34"/>
  </r>
  <r>
    <x v="11"/>
    <n v="1"/>
    <n v="80"/>
    <n v="80"/>
    <x v="0"/>
    <m/>
    <x v="34"/>
  </r>
  <r>
    <x v="10"/>
    <n v="1"/>
    <n v="80"/>
    <n v="80"/>
    <x v="0"/>
    <m/>
    <x v="34"/>
  </r>
  <r>
    <x v="31"/>
    <n v="1"/>
    <n v="45"/>
    <n v="45"/>
    <x v="0"/>
    <m/>
    <x v="34"/>
  </r>
  <r>
    <x v="2"/>
    <n v="1"/>
    <n v="75"/>
    <n v="75"/>
    <x v="0"/>
    <m/>
    <x v="34"/>
  </r>
  <r>
    <x v="32"/>
    <n v="1"/>
    <n v="80"/>
    <n v="80"/>
    <x v="0"/>
    <m/>
    <x v="34"/>
  </r>
  <r>
    <x v="33"/>
    <n v="1"/>
    <n v="100"/>
    <n v="100"/>
    <x v="0"/>
    <m/>
    <x v="34"/>
  </r>
  <r>
    <x v="4"/>
    <n v="1"/>
    <n v="20"/>
    <n v="20"/>
    <x v="0"/>
    <m/>
    <x v="34"/>
  </r>
  <r>
    <x v="5"/>
    <n v="1"/>
    <n v="180"/>
    <n v="180"/>
    <x v="0"/>
    <m/>
    <x v="35"/>
  </r>
  <r>
    <x v="33"/>
    <n v="1"/>
    <n v="130"/>
    <n v="130"/>
    <x v="0"/>
    <m/>
    <x v="35"/>
  </r>
  <r>
    <x v="7"/>
    <n v="2"/>
    <n v="15"/>
    <n v="30"/>
    <x v="0"/>
    <m/>
    <x v="35"/>
  </r>
  <r>
    <x v="5"/>
    <n v="1"/>
    <n v="200"/>
    <n v="200"/>
    <x v="0"/>
    <m/>
    <x v="35"/>
  </r>
  <r>
    <x v="11"/>
    <n v="1"/>
    <n v="100"/>
    <n v="100"/>
    <x v="0"/>
    <m/>
    <x v="35"/>
  </r>
  <r>
    <x v="30"/>
    <n v="1"/>
    <n v="370"/>
    <n v="370"/>
    <x v="0"/>
    <m/>
    <x v="35"/>
  </r>
  <r>
    <x v="5"/>
    <n v="1"/>
    <n v="200"/>
    <n v="200"/>
    <x v="0"/>
    <m/>
    <x v="36"/>
  </r>
  <r>
    <x v="4"/>
    <n v="3"/>
    <n v="10"/>
    <n v="30"/>
    <x v="0"/>
    <m/>
    <x v="36"/>
  </r>
  <r>
    <x v="32"/>
    <n v="2"/>
    <n v="100"/>
    <n v="200"/>
    <x v="0"/>
    <m/>
    <x v="36"/>
  </r>
  <r>
    <x v="31"/>
    <n v="1"/>
    <n v="45"/>
    <n v="45"/>
    <x v="0"/>
    <m/>
    <x v="37"/>
  </r>
  <r>
    <x v="7"/>
    <n v="3"/>
    <n v="15"/>
    <n v="45"/>
    <x v="0"/>
    <m/>
    <x v="37"/>
  </r>
  <r>
    <x v="5"/>
    <n v="1"/>
    <n v="150"/>
    <n v="150"/>
    <x v="0"/>
    <m/>
    <x v="37"/>
  </r>
  <r>
    <x v="3"/>
    <n v="1"/>
    <n v="110"/>
    <n v="110"/>
    <x v="0"/>
    <m/>
    <x v="37"/>
  </r>
  <r>
    <x v="4"/>
    <n v="2"/>
    <n v="15"/>
    <n v="30"/>
    <x v="0"/>
    <m/>
    <x v="37"/>
  </r>
  <r>
    <x v="4"/>
    <n v="1"/>
    <n v="20"/>
    <n v="20"/>
    <x v="0"/>
    <m/>
    <x v="37"/>
  </r>
  <r>
    <x v="47"/>
    <n v="1"/>
    <n v="250"/>
    <n v="250"/>
    <x v="0"/>
    <m/>
    <x v="37"/>
  </r>
  <r>
    <x v="46"/>
    <n v="1"/>
    <n v="150"/>
    <n v="150"/>
    <x v="0"/>
    <m/>
    <x v="37"/>
  </r>
  <r>
    <x v="7"/>
    <n v="4"/>
    <n v="15"/>
    <n v="60"/>
    <x v="0"/>
    <m/>
    <x v="37"/>
  </r>
  <r>
    <x v="14"/>
    <n v="1"/>
    <n v="450"/>
    <n v="450"/>
    <x v="0"/>
    <m/>
    <x v="37"/>
  </r>
  <r>
    <x v="11"/>
    <n v="3"/>
    <n v="100"/>
    <n v="300"/>
    <x v="0"/>
    <m/>
    <x v="37"/>
  </r>
  <r>
    <x v="4"/>
    <n v="1"/>
    <n v="20"/>
    <n v="20"/>
    <x v="0"/>
    <m/>
    <x v="37"/>
  </r>
  <r>
    <x v="6"/>
    <n v="1"/>
    <n v="250"/>
    <n v="250"/>
    <x v="0"/>
    <s v="مرتجع "/>
    <x v="37"/>
  </r>
  <r>
    <x v="5"/>
    <n v="1"/>
    <n v="200"/>
    <n v="200"/>
    <x v="0"/>
    <m/>
    <x v="37"/>
  </r>
  <r>
    <x v="42"/>
    <n v="1"/>
    <n v="30"/>
    <n v="30"/>
    <x v="0"/>
    <m/>
    <x v="38"/>
  </r>
  <r>
    <x v="4"/>
    <n v="1"/>
    <n v="15"/>
    <n v="15"/>
    <x v="0"/>
    <m/>
    <x v="38"/>
  </r>
  <r>
    <x v="27"/>
    <n v="1"/>
    <n v="100"/>
    <n v="100"/>
    <x v="0"/>
    <m/>
    <x v="38"/>
  </r>
  <r>
    <x v="32"/>
    <n v="1"/>
    <n v="100"/>
    <n v="100"/>
    <x v="0"/>
    <m/>
    <x v="38"/>
  </r>
  <r>
    <x v="5"/>
    <n v="1"/>
    <n v="200"/>
    <n v="200"/>
    <x v="0"/>
    <m/>
    <x v="38"/>
  </r>
  <r>
    <x v="45"/>
    <n v="1"/>
    <n v="230"/>
    <n v="230"/>
    <x v="0"/>
    <s v="مرتجع "/>
    <x v="38"/>
  </r>
  <r>
    <x v="40"/>
    <n v="1"/>
    <n v="300"/>
    <n v="300"/>
    <x v="0"/>
    <s v="آجل"/>
    <x v="38"/>
  </r>
  <r>
    <x v="29"/>
    <n v="1"/>
    <n v="70"/>
    <n v="70"/>
    <x v="0"/>
    <m/>
    <x v="38"/>
  </r>
  <r>
    <x v="4"/>
    <n v="1"/>
    <n v="20"/>
    <n v="20"/>
    <x v="0"/>
    <m/>
    <x v="38"/>
  </r>
  <r>
    <x v="15"/>
    <n v="5"/>
    <n v="1300"/>
    <n v="6500"/>
    <x v="5"/>
    <s v="آجل"/>
    <x v="34"/>
  </r>
  <r>
    <x v="24"/>
    <n v="5"/>
    <n v="1450"/>
    <n v="7250"/>
    <x v="5"/>
    <s v="آجل"/>
    <x v="34"/>
  </r>
  <r>
    <x v="25"/>
    <n v="5"/>
    <n v="1250"/>
    <n v="6250"/>
    <x v="5"/>
    <s v="آجل"/>
    <x v="34"/>
  </r>
  <r>
    <x v="16"/>
    <n v="4"/>
    <n v="500"/>
    <n v="2000"/>
    <x v="5"/>
    <s v="آجل"/>
    <x v="34"/>
  </r>
  <r>
    <x v="11"/>
    <n v="3"/>
    <n v="800"/>
    <n v="2400"/>
    <x v="5"/>
    <s v="آجل"/>
    <x v="34"/>
  </r>
  <r>
    <x v="10"/>
    <n v="3"/>
    <n v="800"/>
    <n v="2400"/>
    <x v="5"/>
    <s v="آجل"/>
    <x v="34"/>
  </r>
  <r>
    <x v="5"/>
    <n v="4"/>
    <n v="350"/>
    <n v="1400"/>
    <x v="5"/>
    <s v="آجل"/>
    <x v="34"/>
  </r>
  <r>
    <x v="48"/>
    <n v="4"/>
    <n v="1450"/>
    <n v="5800"/>
    <x v="5"/>
    <s v="آجل"/>
    <x v="34"/>
  </r>
  <r>
    <x v="24"/>
    <n v="30"/>
    <n v="1335"/>
    <n v="40050"/>
    <x v="6"/>
    <s v="آجل"/>
    <x v="35"/>
  </r>
  <r>
    <x v="15"/>
    <n v="30"/>
    <n v="1050"/>
    <n v="31500"/>
    <x v="6"/>
    <s v="آجل"/>
    <x v="35"/>
  </r>
  <r>
    <x v="41"/>
    <n v="15"/>
    <n v="1050"/>
    <n v="15750"/>
    <x v="6"/>
    <s v="آجل"/>
    <x v="35"/>
  </r>
  <r>
    <x v="49"/>
    <n v="14"/>
    <n v="1100"/>
    <n v="15400"/>
    <x v="6"/>
    <s v="آجل"/>
    <x v="35"/>
  </r>
  <r>
    <x v="48"/>
    <n v="30"/>
    <n v="1290"/>
    <n v="38700"/>
    <x v="6"/>
    <s v="آجل"/>
    <x v="35"/>
  </r>
  <r>
    <x v="11"/>
    <n v="10"/>
    <n v="410"/>
    <n v="4100"/>
    <x v="6"/>
    <s v="آجل"/>
    <x v="35"/>
  </r>
  <r>
    <x v="10"/>
    <n v="100"/>
    <n v="480"/>
    <n v="48000"/>
    <x v="6"/>
    <s v="آجل"/>
    <x v="35"/>
  </r>
  <r>
    <x v="14"/>
    <n v="100"/>
    <n v="480"/>
    <n v="48000"/>
    <x v="6"/>
    <s v="آجل"/>
    <x v="35"/>
  </r>
  <r>
    <x v="0"/>
    <n v="100"/>
    <n v="205"/>
    <n v="20500"/>
    <x v="6"/>
    <s v="آجل"/>
    <x v="35"/>
  </r>
  <r>
    <x v="50"/>
    <n v="24"/>
    <n v="250"/>
    <n v="6000"/>
    <x v="6"/>
    <s v="آجل"/>
    <x v="35"/>
  </r>
  <r>
    <x v="51"/>
    <n v="24"/>
    <n v="290"/>
    <n v="6960"/>
    <x v="6"/>
    <s v="آجل"/>
    <x v="35"/>
  </r>
  <r>
    <x v="2"/>
    <n v="100"/>
    <n v="60"/>
    <n v="6000"/>
    <x v="6"/>
    <s v="آجل"/>
    <x v="35"/>
  </r>
  <r>
    <x v="52"/>
    <n v="10"/>
    <n v="2400"/>
    <n v="24000"/>
    <x v="6"/>
    <s v="آجل"/>
    <x v="35"/>
  </r>
  <r>
    <x v="25"/>
    <n v="30"/>
    <n v="670"/>
    <n v="20100"/>
    <x v="6"/>
    <s v="آجل"/>
    <x v="35"/>
  </r>
  <r>
    <x v="35"/>
    <n v="19"/>
    <n v="1400"/>
    <n v="26600"/>
    <x v="6"/>
    <s v="آجل"/>
    <x v="35"/>
  </r>
  <r>
    <x v="53"/>
    <n v="80"/>
    <n v="600"/>
    <n v="48000"/>
    <x v="6"/>
    <s v="آجل"/>
    <x v="35"/>
  </r>
  <r>
    <x v="5"/>
    <n v="79"/>
    <n v="115"/>
    <n v="9085"/>
    <x v="6"/>
    <s v="آجل"/>
    <x v="35"/>
  </r>
  <r>
    <x v="30"/>
    <n v="20"/>
    <n v="230"/>
    <n v="4600"/>
    <x v="6"/>
    <s v="آجل"/>
    <x v="35"/>
  </r>
  <r>
    <x v="1"/>
    <n v="40"/>
    <n v="115"/>
    <n v="4600"/>
    <x v="6"/>
    <s v="آجل"/>
    <x v="35"/>
  </r>
  <r>
    <x v="46"/>
    <n v="40"/>
    <n v="230"/>
    <n v="9200"/>
    <x v="6"/>
    <s v="آجل"/>
    <x v="35"/>
  </r>
  <r>
    <x v="27"/>
    <n v="70"/>
    <n v="145"/>
    <n v="10150"/>
    <x v="6"/>
    <s v="آجل"/>
    <x v="35"/>
  </r>
  <r>
    <x v="22"/>
    <n v="84"/>
    <n v="160"/>
    <n v="13440"/>
    <x v="6"/>
    <s v="آجل"/>
    <x v="35"/>
  </r>
  <r>
    <x v="23"/>
    <n v="40"/>
    <n v="85"/>
    <n v="3400"/>
    <x v="6"/>
    <s v="آجل"/>
    <x v="35"/>
  </r>
  <r>
    <x v="3"/>
    <n v="180"/>
    <n v="90"/>
    <n v="16200"/>
    <x v="6"/>
    <s v="آجل"/>
    <x v="35"/>
  </r>
  <r>
    <x v="6"/>
    <n v="30"/>
    <n v="235"/>
    <n v="7050"/>
    <x v="6"/>
    <s v="آجل"/>
    <x v="35"/>
  </r>
  <r>
    <x v="12"/>
    <n v="30"/>
    <n v="230"/>
    <n v="6900"/>
    <x v="6"/>
    <s v="آجل"/>
    <x v="35"/>
  </r>
  <r>
    <x v="36"/>
    <n v="47"/>
    <n v="605"/>
    <n v="28435"/>
    <x v="6"/>
    <s v="آجل"/>
    <x v="35"/>
  </r>
  <r>
    <x v="38"/>
    <n v="19"/>
    <n v="400"/>
    <n v="7600"/>
    <x v="6"/>
    <s v="آجل"/>
    <x v="35"/>
  </r>
  <r>
    <x v="54"/>
    <n v="12"/>
    <n v="500"/>
    <n v="6000"/>
    <x v="6"/>
    <s v="آجل"/>
    <x v="35"/>
  </r>
  <r>
    <x v="55"/>
    <n v="20"/>
    <n v="500"/>
    <n v="10000"/>
    <x v="6"/>
    <s v="آجل"/>
    <x v="35"/>
  </r>
  <r>
    <x v="56"/>
    <n v="40"/>
    <n v="400"/>
    <n v="16000"/>
    <x v="6"/>
    <s v="آجل"/>
    <x v="35"/>
  </r>
  <r>
    <x v="19"/>
    <n v="12"/>
    <n v="185"/>
    <n v="2220"/>
    <x v="6"/>
    <s v="آجل"/>
    <x v="35"/>
  </r>
  <r>
    <x v="57"/>
    <n v="40"/>
    <n v="95"/>
    <n v="3800"/>
    <x v="6"/>
    <s v="آجل"/>
    <x v="35"/>
  </r>
  <r>
    <x v="13"/>
    <n v="24"/>
    <n v="800"/>
    <n v="19200"/>
    <x v="6"/>
    <s v="آجل"/>
    <x v="35"/>
  </r>
  <r>
    <x v="21"/>
    <n v="36"/>
    <n v="195"/>
    <n v="7020"/>
    <x v="6"/>
    <s v="آجل"/>
    <x v="35"/>
  </r>
  <r>
    <x v="18"/>
    <n v="36"/>
    <n v="270"/>
    <n v="9720"/>
    <x v="6"/>
    <s v="آجل"/>
    <x v="35"/>
  </r>
  <r>
    <x v="58"/>
    <n v="24"/>
    <n v="220"/>
    <n v="5280"/>
    <x v="6"/>
    <s v="آجل"/>
    <x v="35"/>
  </r>
  <r>
    <x v="20"/>
    <n v="36"/>
    <n v="190"/>
    <n v="6840"/>
    <x v="6"/>
    <s v="آجل"/>
    <x v="35"/>
  </r>
  <r>
    <x v="40"/>
    <n v="24"/>
    <n v="210"/>
    <n v="5040"/>
    <x v="6"/>
    <s v="آجل"/>
    <x v="35"/>
  </r>
  <r>
    <x v="37"/>
    <n v="24"/>
    <n v="250"/>
    <n v="6000"/>
    <x v="6"/>
    <s v="آجل"/>
    <x v="35"/>
  </r>
  <r>
    <x v="59"/>
    <n v="36"/>
    <n v="250"/>
    <n v="9000"/>
    <x v="6"/>
    <s v="آجل"/>
    <x v="35"/>
  </r>
  <r>
    <x v="11"/>
    <n v="0.5"/>
    <n v="100"/>
    <n v="50"/>
    <x v="0"/>
    <m/>
    <x v="39"/>
  </r>
  <r>
    <x v="10"/>
    <n v="0.5"/>
    <n v="100"/>
    <n v="50"/>
    <x v="0"/>
    <m/>
    <x v="39"/>
  </r>
  <r>
    <x v="27"/>
    <n v="1"/>
    <n v="100"/>
    <n v="100"/>
    <x v="0"/>
    <m/>
    <x v="39"/>
  </r>
  <r>
    <x v="32"/>
    <n v="1"/>
    <n v="100"/>
    <n v="100"/>
    <x v="0"/>
    <m/>
    <x v="39"/>
  </r>
  <r>
    <x v="33"/>
    <n v="1"/>
    <n v="100"/>
    <n v="100"/>
    <x v="0"/>
    <m/>
    <x v="39"/>
  </r>
  <r>
    <x v="2"/>
    <n v="1"/>
    <n v="100"/>
    <n v="100"/>
    <x v="0"/>
    <m/>
    <x v="39"/>
  </r>
  <r>
    <x v="33"/>
    <n v="1"/>
    <n v="100"/>
    <n v="100"/>
    <x v="0"/>
    <m/>
    <x v="39"/>
  </r>
  <r>
    <x v="28"/>
    <n v="1"/>
    <n v="100"/>
    <n v="100"/>
    <x v="0"/>
    <m/>
    <x v="39"/>
  </r>
  <r>
    <x v="22"/>
    <n v="2"/>
    <n v="300"/>
    <n v="600"/>
    <x v="5"/>
    <s v="آجل"/>
    <x v="39"/>
  </r>
  <r>
    <x v="0"/>
    <n v="1"/>
    <n v="550"/>
    <n v="550"/>
    <x v="5"/>
    <s v="آجل"/>
    <x v="39"/>
  </r>
  <r>
    <x v="2"/>
    <n v="8"/>
    <n v="200"/>
    <n v="1600"/>
    <x v="5"/>
    <s v="آجل"/>
    <x v="39"/>
  </r>
  <r>
    <x v="43"/>
    <n v="1"/>
    <n v="1700"/>
    <n v="1700"/>
    <x v="5"/>
    <s v="آجل"/>
    <x v="39"/>
  </r>
  <r>
    <x v="11"/>
    <n v="1"/>
    <n v="100"/>
    <n v="100"/>
    <x v="0"/>
    <m/>
    <x v="40"/>
  </r>
  <r>
    <x v="5"/>
    <n v="1"/>
    <n v="150"/>
    <n v="150"/>
    <x v="0"/>
    <m/>
    <x v="40"/>
  </r>
  <r>
    <x v="32"/>
    <n v="1"/>
    <n v="70"/>
    <n v="70"/>
    <x v="0"/>
    <m/>
    <x v="41"/>
  </r>
  <r>
    <x v="33"/>
    <n v="1"/>
    <n v="100"/>
    <n v="100"/>
    <x v="0"/>
    <m/>
    <x v="42"/>
  </r>
  <r>
    <x v="28"/>
    <n v="1"/>
    <n v="100"/>
    <n v="100"/>
    <x v="0"/>
    <m/>
    <x v="42"/>
  </r>
  <r>
    <x v="60"/>
    <n v="1"/>
    <n v="120"/>
    <n v="120"/>
    <x v="0"/>
    <m/>
    <x v="42"/>
  </r>
  <r>
    <x v="11"/>
    <n v="1"/>
    <n v="100"/>
    <n v="100"/>
    <x v="0"/>
    <m/>
    <x v="42"/>
  </r>
  <r>
    <x v="7"/>
    <n v="1"/>
    <n v="25"/>
    <n v="25"/>
    <x v="0"/>
    <m/>
    <x v="42"/>
  </r>
  <r>
    <x v="11"/>
    <n v="1"/>
    <n v="100"/>
    <n v="100"/>
    <x v="0"/>
    <m/>
    <x v="42"/>
  </r>
  <r>
    <x v="44"/>
    <n v="1"/>
    <n v="120"/>
    <n v="120"/>
    <x v="0"/>
    <m/>
    <x v="42"/>
  </r>
  <r>
    <x v="5"/>
    <n v="1"/>
    <n v="200"/>
    <n v="200"/>
    <x v="0"/>
    <m/>
    <x v="42"/>
  </r>
  <r>
    <x v="7"/>
    <n v="20"/>
    <n v="15"/>
    <n v="300"/>
    <x v="0"/>
    <m/>
    <x v="42"/>
  </r>
  <r>
    <x v="1"/>
    <n v="1"/>
    <n v="100"/>
    <n v="100"/>
    <x v="0"/>
    <m/>
    <x v="42"/>
  </r>
  <r>
    <x v="20"/>
    <n v="5"/>
    <n v="500"/>
    <n v="2500"/>
    <x v="5"/>
    <s v="آجل"/>
    <x v="43"/>
  </r>
  <r>
    <x v="44"/>
    <n v="4"/>
    <n v="350"/>
    <n v="1400"/>
    <x v="5"/>
    <s v="آجل"/>
    <x v="43"/>
  </r>
  <r>
    <x v="11"/>
    <n v="2"/>
    <n v="160"/>
    <n v="320"/>
    <x v="5"/>
    <s v="آجل"/>
    <x v="43"/>
  </r>
  <r>
    <x v="15"/>
    <n v="2"/>
    <n v="1300"/>
    <n v="2600"/>
    <x v="5"/>
    <s v="آجل"/>
    <x v="43"/>
  </r>
  <r>
    <x v="60"/>
    <n v="2"/>
    <n v="200"/>
    <n v="400"/>
    <x v="5"/>
    <s v="آجل"/>
    <x v="43"/>
  </r>
  <r>
    <x v="43"/>
    <n v="2"/>
    <n v="1700"/>
    <n v="3400"/>
    <x v="5"/>
    <s v="آجل"/>
    <x v="43"/>
  </r>
  <r>
    <x v="37"/>
    <n v="3"/>
    <n v="500"/>
    <n v="1500"/>
    <x v="5"/>
    <s v="آجل"/>
    <x v="43"/>
  </r>
  <r>
    <x v="5"/>
    <n v="1"/>
    <n v="150"/>
    <n v="150"/>
    <x v="0"/>
    <m/>
    <x v="43"/>
  </r>
  <r>
    <x v="1"/>
    <n v="1"/>
    <n v="150"/>
    <n v="150"/>
    <x v="0"/>
    <m/>
    <x v="44"/>
  </r>
  <r>
    <x v="1"/>
    <n v="1"/>
    <n v="120"/>
    <n v="120"/>
    <x v="0"/>
    <m/>
    <x v="44"/>
  </r>
  <r>
    <x v="61"/>
    <n v="1"/>
    <n v="250"/>
    <n v="250"/>
    <x v="0"/>
    <m/>
    <x v="44"/>
  </r>
  <r>
    <x v="1"/>
    <n v="1"/>
    <n v="150"/>
    <n v="150"/>
    <x v="0"/>
    <m/>
    <x v="44"/>
  </r>
  <r>
    <x v="5"/>
    <n v="1"/>
    <n v="150"/>
    <n v="150"/>
    <x v="0"/>
    <m/>
    <x v="44"/>
  </r>
  <r>
    <x v="60"/>
    <n v="1"/>
    <n v="150"/>
    <n v="150"/>
    <x v="0"/>
    <m/>
    <x v="44"/>
  </r>
  <r>
    <x v="26"/>
    <n v="1"/>
    <n v="350"/>
    <n v="350"/>
    <x v="0"/>
    <m/>
    <x v="44"/>
  </r>
  <r>
    <x v="11"/>
    <n v="1"/>
    <n v="80"/>
    <n v="80"/>
    <x v="0"/>
    <m/>
    <x v="44"/>
  </r>
  <r>
    <x v="10"/>
    <n v="2"/>
    <n v="80"/>
    <n v="160"/>
    <x v="0"/>
    <m/>
    <x v="44"/>
  </r>
  <r>
    <x v="7"/>
    <n v="1"/>
    <n v="10"/>
    <n v="10"/>
    <x v="0"/>
    <m/>
    <x v="45"/>
  </r>
  <r>
    <x v="8"/>
    <n v="1"/>
    <n v="40"/>
    <n v="40"/>
    <x v="0"/>
    <m/>
    <x v="45"/>
  </r>
  <r>
    <x v="30"/>
    <n v="1"/>
    <n v="380"/>
    <n v="380"/>
    <x v="0"/>
    <m/>
    <x v="45"/>
  </r>
  <r>
    <x v="31"/>
    <n v="1"/>
    <n v="45"/>
    <n v="45"/>
    <x v="0"/>
    <m/>
    <x v="45"/>
  </r>
  <r>
    <x v="1"/>
    <n v="1"/>
    <n v="120"/>
    <n v="120"/>
    <x v="0"/>
    <m/>
    <x v="45"/>
  </r>
  <r>
    <x v="39"/>
    <n v="2"/>
    <n v="55"/>
    <n v="110"/>
    <x v="0"/>
    <s v="آجل"/>
    <x v="45"/>
  </r>
  <r>
    <x v="33"/>
    <n v="1"/>
    <n v="150"/>
    <n v="150"/>
    <x v="0"/>
    <s v="آجل"/>
    <x v="45"/>
  </r>
  <r>
    <x v="23"/>
    <n v="1"/>
    <n v="100"/>
    <n v="100"/>
    <x v="0"/>
    <m/>
    <x v="45"/>
  </r>
  <r>
    <x v="27"/>
    <n v="1"/>
    <n v="100"/>
    <n v="100"/>
    <x v="0"/>
    <m/>
    <x v="45"/>
  </r>
  <r>
    <x v="24"/>
    <n v="4"/>
    <n v="1450"/>
    <n v="5800"/>
    <x v="5"/>
    <m/>
    <x v="45"/>
  </r>
  <r>
    <x v="15"/>
    <n v="4"/>
    <n v="1300"/>
    <n v="5200"/>
    <x v="5"/>
    <m/>
    <x v="45"/>
  </r>
  <r>
    <x v="25"/>
    <n v="6"/>
    <n v="1250"/>
    <n v="7500"/>
    <x v="5"/>
    <m/>
    <x v="45"/>
  </r>
  <r>
    <x v="43"/>
    <n v="4"/>
    <n v="1700"/>
    <n v="6800"/>
    <x v="5"/>
    <m/>
    <x v="45"/>
  </r>
  <r>
    <x v="62"/>
    <n v="2"/>
    <n v="550"/>
    <n v="1100"/>
    <x v="5"/>
    <m/>
    <x v="45"/>
  </r>
  <r>
    <x v="63"/>
    <n v="3"/>
    <n v="550"/>
    <n v="1650"/>
    <x v="5"/>
    <m/>
    <x v="45"/>
  </r>
  <r>
    <x v="22"/>
    <n v="1"/>
    <n v="300"/>
    <n v="300"/>
    <x v="5"/>
    <m/>
    <x v="45"/>
  </r>
  <r>
    <x v="5"/>
    <n v="1"/>
    <n v="380"/>
    <n v="380"/>
    <x v="5"/>
    <m/>
    <x v="45"/>
  </r>
  <r>
    <x v="40"/>
    <n v="1"/>
    <n v="250"/>
    <n v="250"/>
    <x v="0"/>
    <m/>
    <x v="46"/>
  </r>
  <r>
    <x v="5"/>
    <n v="1"/>
    <n v="200"/>
    <n v="200"/>
    <x v="0"/>
    <m/>
    <x v="46"/>
  </r>
  <r>
    <x v="30"/>
    <n v="1"/>
    <n v="300"/>
    <n v="300"/>
    <x v="0"/>
    <m/>
    <x v="46"/>
  </r>
  <r>
    <x v="35"/>
    <n v="1"/>
    <n v="350"/>
    <n v="350"/>
    <x v="0"/>
    <m/>
    <x v="46"/>
  </r>
  <r>
    <x v="51"/>
    <n v="1"/>
    <n v="250"/>
    <n v="250"/>
    <x v="0"/>
    <m/>
    <x v="46"/>
  </r>
  <r>
    <x v="64"/>
    <n v="6"/>
    <n v="20"/>
    <n v="120"/>
    <x v="0"/>
    <m/>
    <x v="46"/>
  </r>
  <r>
    <x v="30"/>
    <n v="4"/>
    <n v="400"/>
    <n v="1600"/>
    <x v="7"/>
    <s v="آجل"/>
    <x v="46"/>
  </r>
  <r>
    <x v="18"/>
    <n v="4"/>
    <n v="400"/>
    <n v="1600"/>
    <x v="7"/>
    <s v="آجل"/>
    <x v="46"/>
  </r>
  <r>
    <x v="29"/>
    <n v="8"/>
    <n v="50"/>
    <n v="400"/>
    <x v="7"/>
    <s v="آجل"/>
    <x v="46"/>
  </r>
  <r>
    <x v="31"/>
    <n v="10"/>
    <n v="40"/>
    <n v="400"/>
    <x v="7"/>
    <s v="آجل"/>
    <x v="46"/>
  </r>
  <r>
    <x v="3"/>
    <n v="4"/>
    <n v="130"/>
    <n v="520"/>
    <x v="7"/>
    <s v="آجل"/>
    <x v="46"/>
  </r>
  <r>
    <x v="1"/>
    <n v="1"/>
    <n v="100"/>
    <n v="100"/>
    <x v="0"/>
    <m/>
    <x v="46"/>
  </r>
  <r>
    <x v="4"/>
    <n v="2"/>
    <n v="15"/>
    <n v="30"/>
    <x v="0"/>
    <m/>
    <x v="47"/>
  </r>
  <r>
    <x v="16"/>
    <n v="100"/>
    <n v="425"/>
    <n v="42500"/>
    <x v="6"/>
    <s v="آجل"/>
    <x v="47"/>
  </r>
  <r>
    <x v="53"/>
    <n v="100"/>
    <n v="600"/>
    <n v="60000"/>
    <x v="6"/>
    <s v="آجل"/>
    <x v="47"/>
  </r>
  <r>
    <x v="41"/>
    <n v="25"/>
    <n v="1050"/>
    <n v="26250"/>
    <x v="6"/>
    <s v="آجل"/>
    <x v="47"/>
  </r>
  <r>
    <x v="10"/>
    <n v="30"/>
    <n v="480"/>
    <n v="14400"/>
    <x v="6"/>
    <s v="آجل"/>
    <x v="47"/>
  </r>
  <r>
    <x v="63"/>
    <n v="48"/>
    <n v="370"/>
    <n v="17760"/>
    <x v="6"/>
    <s v="آجل"/>
    <x v="47"/>
  </r>
  <r>
    <x v="48"/>
    <n v="60"/>
    <n v="370"/>
    <n v="22200"/>
    <x v="6"/>
    <s v="آجل"/>
    <x v="47"/>
  </r>
  <r>
    <x v="65"/>
    <n v="60"/>
    <n v="220"/>
    <n v="13200"/>
    <x v="6"/>
    <s v="آجل"/>
    <x v="47"/>
  </r>
  <r>
    <x v="66"/>
    <n v="120"/>
    <n v="215"/>
    <n v="25800"/>
    <x v="6"/>
    <s v="آجل"/>
    <x v="47"/>
  </r>
  <r>
    <x v="15"/>
    <n v="30"/>
    <n v="1050"/>
    <n v="31500"/>
    <x v="6"/>
    <s v="آجل"/>
    <x v="47"/>
  </r>
  <r>
    <x v="48"/>
    <n v="16"/>
    <n v="1290"/>
    <n v="20640"/>
    <x v="6"/>
    <s v="آجل"/>
    <x v="47"/>
  </r>
  <r>
    <x v="2"/>
    <n v="280"/>
    <n v="60"/>
    <n v="16800"/>
    <x v="6"/>
    <s v="آجل"/>
    <x v="47"/>
  </r>
  <r>
    <x v="57"/>
    <n v="20"/>
    <n v="220"/>
    <n v="4400"/>
    <x v="6"/>
    <s v="آجل"/>
    <x v="47"/>
  </r>
  <r>
    <x v="58"/>
    <n v="12"/>
    <n v="220"/>
    <n v="2640"/>
    <x v="6"/>
    <s v="آجل"/>
    <x v="47"/>
  </r>
  <r>
    <x v="56"/>
    <n v="40"/>
    <n v="400"/>
    <n v="16000"/>
    <x v="6"/>
    <s v="آجل"/>
    <x v="47"/>
  </r>
  <r>
    <x v="18"/>
    <n v="12"/>
    <n v="270"/>
    <n v="3240"/>
    <x v="6"/>
    <s v="آجل"/>
    <x v="47"/>
  </r>
  <r>
    <x v="47"/>
    <n v="12"/>
    <n v="190"/>
    <n v="2280"/>
    <x v="6"/>
    <s v="آجل"/>
    <x v="47"/>
  </r>
  <r>
    <x v="40"/>
    <n v="12"/>
    <n v="210"/>
    <n v="2520"/>
    <x v="6"/>
    <s v="آجل"/>
    <x v="47"/>
  </r>
  <r>
    <x v="23"/>
    <n v="260"/>
    <n v="85"/>
    <n v="22100"/>
    <x v="6"/>
    <s v="آجل"/>
    <x v="47"/>
  </r>
  <r>
    <x v="55"/>
    <n v="16"/>
    <n v="500"/>
    <n v="8000"/>
    <x v="6"/>
    <s v="آجل"/>
    <x v="47"/>
  </r>
  <r>
    <x v="13"/>
    <n v="24"/>
    <n v="800"/>
    <n v="19200"/>
    <x v="6"/>
    <s v="آجل"/>
    <x v="47"/>
  </r>
  <r>
    <x v="37"/>
    <n v="24"/>
    <n v="250"/>
    <n v="6000"/>
    <x v="6"/>
    <s v="آجل"/>
    <x v="47"/>
  </r>
  <r>
    <x v="67"/>
    <n v="48"/>
    <n v="450"/>
    <n v="21600"/>
    <x v="6"/>
    <s v="آجل"/>
    <x v="47"/>
  </r>
  <r>
    <x v="1"/>
    <n v="100"/>
    <n v="115"/>
    <n v="11500"/>
    <x v="6"/>
    <s v="آجل"/>
    <x v="47"/>
  </r>
  <r>
    <x v="59"/>
    <n v="36"/>
    <n v="250"/>
    <n v="9000"/>
    <x v="6"/>
    <s v="آجل"/>
    <x v="47"/>
  </r>
  <r>
    <x v="12"/>
    <n v="22"/>
    <n v="230"/>
    <n v="5060"/>
    <x v="6"/>
    <s v="آجل"/>
    <x v="47"/>
  </r>
  <r>
    <x v="20"/>
    <n v="60"/>
    <n v="190"/>
    <n v="11400"/>
    <x v="6"/>
    <s v="آجل"/>
    <x v="47"/>
  </r>
  <r>
    <x v="68"/>
    <n v="30"/>
    <n v="155"/>
    <n v="4650"/>
    <x v="6"/>
    <s v="آجل"/>
    <x v="47"/>
  </r>
  <r>
    <x v="69"/>
    <n v="24"/>
    <n v="287"/>
    <n v="6888"/>
    <x v="6"/>
    <s v="آجل"/>
    <x v="47"/>
  </r>
  <r>
    <x v="70"/>
    <n v="30"/>
    <n v="150"/>
    <n v="4500"/>
    <x v="6"/>
    <s v="آجل"/>
    <x v="47"/>
  </r>
  <r>
    <x v="71"/>
    <n v="24"/>
    <n v="275"/>
    <n v="6600"/>
    <x v="6"/>
    <s v="آجل"/>
    <x v="47"/>
  </r>
  <r>
    <x v="72"/>
    <n v="24"/>
    <n v="155"/>
    <n v="3720"/>
    <x v="6"/>
    <s v="آجل"/>
    <x v="47"/>
  </r>
  <r>
    <x v="73"/>
    <n v="24"/>
    <n v="245"/>
    <n v="5880"/>
    <x v="6"/>
    <s v="آجل"/>
    <x v="47"/>
  </r>
  <r>
    <x v="74"/>
    <n v="12"/>
    <n v="400"/>
    <n v="4800"/>
    <x v="6"/>
    <s v="آجل"/>
    <x v="47"/>
  </r>
  <r>
    <x v="75"/>
    <n v="24"/>
    <n v="150"/>
    <n v="3600"/>
    <x v="6"/>
    <s v="آجل"/>
    <x v="47"/>
  </r>
  <r>
    <x v="76"/>
    <n v="12"/>
    <n v="240"/>
    <n v="2880"/>
    <x v="6"/>
    <s v="آجل"/>
    <x v="47"/>
  </r>
  <r>
    <x v="60"/>
    <n v="30"/>
    <n v="175"/>
    <n v="5250"/>
    <x v="6"/>
    <s v="آجل"/>
    <x v="47"/>
  </r>
  <r>
    <x v="77"/>
    <n v="36"/>
    <n v="225"/>
    <n v="8100"/>
    <x v="6"/>
    <s v="آجل"/>
    <x v="47"/>
  </r>
  <r>
    <x v="24"/>
    <n v="23"/>
    <n v="1335"/>
    <n v="30705"/>
    <x v="6"/>
    <s v="آجل"/>
    <x v="47"/>
  </r>
  <r>
    <x v="15"/>
    <n v="31"/>
    <n v="1050"/>
    <n v="32550"/>
    <x v="6"/>
    <s v="آجل"/>
    <x v="47"/>
  </r>
  <r>
    <x v="78"/>
    <n v="20"/>
    <n v="370"/>
    <n v="7400"/>
    <x v="6"/>
    <s v="آجل"/>
    <x v="47"/>
  </r>
  <r>
    <x v="14"/>
    <n v="28"/>
    <n v="320"/>
    <n v="8960"/>
    <x v="6"/>
    <s v="آجل"/>
    <x v="47"/>
  </r>
  <r>
    <x v="79"/>
    <n v="60"/>
    <n v="245"/>
    <n v="14700"/>
    <x v="6"/>
    <s v="آجل"/>
    <x v="47"/>
  </r>
  <r>
    <x v="21"/>
    <n v="12"/>
    <n v="195"/>
    <n v="2340"/>
    <x v="6"/>
    <s v="آجل"/>
    <x v="47"/>
  </r>
  <r>
    <x v="58"/>
    <n v="36"/>
    <n v="220"/>
    <n v="7920"/>
    <x v="6"/>
    <s v="آجل"/>
    <x v="47"/>
  </r>
  <r>
    <x v="80"/>
    <n v="47"/>
    <n v="190"/>
    <n v="8930"/>
    <x v="6"/>
    <s v="آجل"/>
    <x v="47"/>
  </r>
  <r>
    <x v="20"/>
    <n v="60"/>
    <n v="190"/>
    <n v="11400"/>
    <x v="6"/>
    <s v="آجل"/>
    <x v="47"/>
  </r>
  <r>
    <x v="13"/>
    <n v="24"/>
    <n v="800"/>
    <n v="19200"/>
    <x v="6"/>
    <s v="آجل"/>
    <x v="47"/>
  </r>
  <r>
    <x v="66"/>
    <n v="36"/>
    <n v="215"/>
    <n v="7740"/>
    <x v="6"/>
    <s v="آجل"/>
    <x v="47"/>
  </r>
  <r>
    <x v="51"/>
    <n v="84"/>
    <n v="290"/>
    <n v="24360"/>
    <x v="6"/>
    <s v="آجل"/>
    <x v="47"/>
  </r>
  <r>
    <x v="22"/>
    <n v="126"/>
    <n v="160"/>
    <n v="20160"/>
    <x v="6"/>
    <s v="آجل"/>
    <x v="47"/>
  </r>
  <r>
    <x v="5"/>
    <n v="20"/>
    <n v="115"/>
    <n v="2300"/>
    <x v="6"/>
    <s v="آجل"/>
    <x v="47"/>
  </r>
  <r>
    <x v="46"/>
    <n v="60"/>
    <n v="230"/>
    <n v="13800"/>
    <x v="6"/>
    <s v="آجل"/>
    <x v="47"/>
  </r>
  <r>
    <x v="81"/>
    <n v="60"/>
    <n v="190"/>
    <n v="11400"/>
    <x v="6"/>
    <s v="آجل"/>
    <x v="47"/>
  </r>
  <r>
    <x v="82"/>
    <n v="36"/>
    <n v="195"/>
    <n v="7020"/>
    <x v="6"/>
    <s v="آجل"/>
    <x v="47"/>
  </r>
  <r>
    <x v="45"/>
    <n v="60"/>
    <n v="175"/>
    <n v="10500"/>
    <x v="6"/>
    <s v="آجل"/>
    <x v="47"/>
  </r>
  <r>
    <x v="5"/>
    <n v="1"/>
    <n v="170"/>
    <n v="170"/>
    <x v="0"/>
    <m/>
    <x v="47"/>
  </r>
  <r>
    <x v="30"/>
    <n v="4"/>
    <n v="250"/>
    <n v="1000"/>
    <x v="0"/>
    <m/>
    <x v="48"/>
  </r>
  <r>
    <x v="1"/>
    <n v="1"/>
    <n v="100"/>
    <n v="100"/>
    <x v="0"/>
    <m/>
    <x v="48"/>
  </r>
  <r>
    <x v="33"/>
    <n v="1"/>
    <n v="130"/>
    <n v="130"/>
    <x v="0"/>
    <m/>
    <x v="48"/>
  </r>
  <r>
    <x v="1"/>
    <n v="12"/>
    <n v="150"/>
    <n v="1800"/>
    <x v="0"/>
    <m/>
    <x v="48"/>
  </r>
  <r>
    <x v="35"/>
    <n v="0.5"/>
    <n v="1800"/>
    <n v="900"/>
    <x v="0"/>
    <m/>
    <x v="48"/>
  </r>
  <r>
    <x v="26"/>
    <n v="1"/>
    <n v="450"/>
    <n v="450"/>
    <x v="0"/>
    <m/>
    <x v="48"/>
  </r>
  <r>
    <x v="7"/>
    <n v="1"/>
    <n v="15"/>
    <n v="15"/>
    <x v="0"/>
    <m/>
    <x v="48"/>
  </r>
  <r>
    <x v="4"/>
    <n v="1"/>
    <n v="15"/>
    <n v="15"/>
    <x v="0"/>
    <m/>
    <x v="49"/>
  </r>
  <r>
    <x v="1"/>
    <n v="1"/>
    <n v="100"/>
    <n v="100"/>
    <x v="0"/>
    <m/>
    <x v="49"/>
  </r>
  <r>
    <x v="1"/>
    <n v="1"/>
    <n v="150"/>
    <n v="150"/>
    <x v="0"/>
    <m/>
    <x v="49"/>
  </r>
  <r>
    <x v="7"/>
    <n v="3"/>
    <n v="15"/>
    <n v="45"/>
    <x v="0"/>
    <m/>
    <x v="49"/>
  </r>
  <r>
    <x v="5"/>
    <n v="1"/>
    <n v="200"/>
    <n v="200"/>
    <x v="0"/>
    <m/>
    <x v="49"/>
  </r>
  <r>
    <x v="60"/>
    <n v="2"/>
    <n v="130"/>
    <n v="260"/>
    <x v="0"/>
    <m/>
    <x v="50"/>
  </r>
  <r>
    <x v="1"/>
    <n v="1"/>
    <n v="130"/>
    <n v="130"/>
    <x v="0"/>
    <m/>
    <x v="50"/>
  </r>
  <r>
    <x v="4"/>
    <n v="4"/>
    <n v="15"/>
    <n v="60"/>
    <x v="0"/>
    <m/>
    <x v="50"/>
  </r>
  <r>
    <x v="7"/>
    <n v="2"/>
    <n v="15"/>
    <n v="30"/>
    <x v="0"/>
    <m/>
    <x v="50"/>
  </r>
  <r>
    <x v="1"/>
    <n v="1"/>
    <n v="150"/>
    <n v="150"/>
    <x v="0"/>
    <m/>
    <x v="51"/>
  </r>
  <r>
    <x v="39"/>
    <n v="1"/>
    <n v="65"/>
    <n v="65"/>
    <x v="0"/>
    <m/>
    <x v="51"/>
  </r>
  <r>
    <x v="44"/>
    <n v="2"/>
    <n v="220"/>
    <n v="440"/>
    <x v="0"/>
    <m/>
    <x v="51"/>
  </r>
  <r>
    <x v="1"/>
    <n v="1"/>
    <n v="120"/>
    <n v="120"/>
    <x v="0"/>
    <m/>
    <x v="51"/>
  </r>
  <r>
    <x v="4"/>
    <n v="1"/>
    <n v="15"/>
    <n v="15"/>
    <x v="0"/>
    <m/>
    <x v="51"/>
  </r>
  <r>
    <x v="46"/>
    <n v="1"/>
    <n v="150"/>
    <n v="150"/>
    <x v="0"/>
    <m/>
    <x v="51"/>
  </r>
  <r>
    <x v="3"/>
    <n v="8"/>
    <n v="200"/>
    <n v="1600"/>
    <x v="5"/>
    <s v="آجل"/>
    <x v="51"/>
  </r>
  <r>
    <x v="46"/>
    <n v="2"/>
    <n v="250"/>
    <n v="500"/>
    <x v="5"/>
    <s v="آجل"/>
    <x v="51"/>
  </r>
  <r>
    <x v="83"/>
    <n v="2"/>
    <n v="350"/>
    <n v="700"/>
    <x v="5"/>
    <s v="آجل"/>
    <x v="51"/>
  </r>
  <r>
    <x v="10"/>
    <n v="1"/>
    <n v="400"/>
    <n v="400"/>
    <x v="0"/>
    <m/>
    <x v="52"/>
  </r>
  <r>
    <x v="10"/>
    <n v="1"/>
    <n v="80"/>
    <n v="80"/>
    <x v="0"/>
    <m/>
    <x v="52"/>
  </r>
  <r>
    <x v="11"/>
    <n v="2"/>
    <n v="80"/>
    <n v="160"/>
    <x v="0"/>
    <m/>
    <x v="52"/>
  </r>
  <r>
    <x v="1"/>
    <n v="1"/>
    <n v="100"/>
    <n v="100"/>
    <x v="0"/>
    <m/>
    <x v="52"/>
  </r>
  <r>
    <x v="46"/>
    <n v="2"/>
    <n v="150"/>
    <n v="300"/>
    <x v="0"/>
    <m/>
    <x v="52"/>
  </r>
  <r>
    <x v="7"/>
    <n v="1"/>
    <n v="15"/>
    <n v="15"/>
    <x v="0"/>
    <m/>
    <x v="52"/>
  </r>
  <r>
    <x v="10"/>
    <n v="2"/>
    <n v="90"/>
    <n v="180"/>
    <x v="0"/>
    <m/>
    <x v="53"/>
  </r>
  <r>
    <x v="28"/>
    <n v="1"/>
    <n v="120"/>
    <n v="120"/>
    <x v="0"/>
    <m/>
    <x v="53"/>
  </r>
  <r>
    <x v="60"/>
    <n v="1"/>
    <n v="160"/>
    <n v="160"/>
    <x v="0"/>
    <m/>
    <x v="53"/>
  </r>
  <r>
    <x v="3"/>
    <n v="1"/>
    <n v="150"/>
    <n v="150"/>
    <x v="0"/>
    <m/>
    <x v="53"/>
  </r>
  <r>
    <x v="60"/>
    <n v="1"/>
    <n v="150"/>
    <n v="150"/>
    <x v="0"/>
    <m/>
    <x v="53"/>
  </r>
  <r>
    <x v="28"/>
    <n v="1"/>
    <n v="100"/>
    <n v="100"/>
    <x v="0"/>
    <m/>
    <x v="53"/>
  </r>
  <r>
    <x v="46"/>
    <n v="1"/>
    <n v="280"/>
    <n v="280"/>
    <x v="0"/>
    <m/>
    <x v="53"/>
  </r>
  <r>
    <x v="1"/>
    <n v="1"/>
    <n v="100"/>
    <n v="100"/>
    <x v="0"/>
    <m/>
    <x v="53"/>
  </r>
  <r>
    <x v="7"/>
    <n v="2"/>
    <n v="15"/>
    <n v="30"/>
    <x v="0"/>
    <m/>
    <x v="53"/>
  </r>
  <r>
    <x v="4"/>
    <n v="1"/>
    <n v="15"/>
    <n v="15"/>
    <x v="0"/>
    <m/>
    <x v="54"/>
  </r>
  <r>
    <x v="34"/>
    <n v="1"/>
    <n v="90"/>
    <n v="90"/>
    <x v="0"/>
    <m/>
    <x v="54"/>
  </r>
  <r>
    <x v="32"/>
    <n v="1"/>
    <n v="100"/>
    <n v="100"/>
    <x v="0"/>
    <m/>
    <x v="54"/>
  </r>
  <r>
    <x v="31"/>
    <n v="1"/>
    <n v="80"/>
    <n v="80"/>
    <x v="0"/>
    <m/>
    <x v="54"/>
  </r>
  <r>
    <x v="60"/>
    <n v="1"/>
    <n v="190"/>
    <n v="190"/>
    <x v="0"/>
    <m/>
    <x v="54"/>
  </r>
  <r>
    <x v="16"/>
    <n v="40"/>
    <n v="425"/>
    <n v="17000"/>
    <x v="6"/>
    <s v="آجل"/>
    <x v="54"/>
  </r>
  <r>
    <x v="55"/>
    <n v="80"/>
    <n v="500"/>
    <n v="40000"/>
    <x v="6"/>
    <s v="آجل"/>
    <x v="54"/>
  </r>
  <r>
    <x v="84"/>
    <n v="8"/>
    <n v="1185"/>
    <n v="9480"/>
    <x v="6"/>
    <s v="آجل"/>
    <x v="54"/>
  </r>
  <r>
    <x v="85"/>
    <n v="12"/>
    <n v="875"/>
    <n v="10500"/>
    <x v="6"/>
    <s v="آجل"/>
    <x v="54"/>
  </r>
  <r>
    <x v="25"/>
    <n v="50"/>
    <n v="670"/>
    <n v="33500"/>
    <x v="6"/>
    <s v="آجل"/>
    <x v="54"/>
  </r>
  <r>
    <x v="63"/>
    <n v="120"/>
    <n v="370"/>
    <n v="44400"/>
    <x v="6"/>
    <s v="آجل"/>
    <x v="54"/>
  </r>
  <r>
    <x v="6"/>
    <n v="135"/>
    <n v="235"/>
    <n v="31725"/>
    <x v="6"/>
    <s v="آجل"/>
    <x v="54"/>
  </r>
  <r>
    <x v="86"/>
    <n v="480"/>
    <n v="210"/>
    <n v="100800"/>
    <x v="6"/>
    <s v="آجل"/>
    <x v="54"/>
  </r>
  <r>
    <x v="77"/>
    <n v="24"/>
    <n v="225"/>
    <n v="5400"/>
    <x v="6"/>
    <s v="آجل"/>
    <x v="54"/>
  </r>
  <r>
    <x v="58"/>
    <n v="12"/>
    <n v="220"/>
    <n v="2640"/>
    <x v="6"/>
    <s v="آجل"/>
    <x v="54"/>
  </r>
  <r>
    <x v="20"/>
    <n v="12"/>
    <n v="190"/>
    <n v="2280"/>
    <x v="6"/>
    <s v="آجل"/>
    <x v="54"/>
  </r>
  <r>
    <x v="86"/>
    <n v="8"/>
    <n v="200"/>
    <n v="1600"/>
    <x v="6"/>
    <s v="آجل"/>
    <x v="54"/>
  </r>
  <r>
    <x v="10"/>
    <n v="95"/>
    <n v="480"/>
    <n v="45600"/>
    <x v="6"/>
    <s v="آجل"/>
    <x v="55"/>
  </r>
  <r>
    <x v="11"/>
    <n v="35"/>
    <n v="410"/>
    <n v="14350"/>
    <x v="6"/>
    <s v="آجل"/>
    <x v="55"/>
  </r>
  <r>
    <x v="12"/>
    <n v="140"/>
    <n v="230"/>
    <n v="32200"/>
    <x v="6"/>
    <s v="آجل"/>
    <x v="55"/>
  </r>
  <r>
    <x v="51"/>
    <n v="108"/>
    <n v="290"/>
    <n v="31320"/>
    <x v="6"/>
    <s v="آجل"/>
    <x v="55"/>
  </r>
  <r>
    <x v="30"/>
    <n v="80"/>
    <n v="230"/>
    <n v="18400"/>
    <x v="6"/>
    <s v="آجل"/>
    <x v="55"/>
  </r>
  <r>
    <x v="0"/>
    <n v="100"/>
    <n v="205"/>
    <n v="20500"/>
    <x v="6"/>
    <s v="آجل"/>
    <x v="55"/>
  </r>
  <r>
    <x v="36"/>
    <n v="96"/>
    <n v="605"/>
    <n v="58080"/>
    <x v="6"/>
    <s v="آجل"/>
    <x v="55"/>
  </r>
  <r>
    <x v="46"/>
    <n v="80"/>
    <n v="230"/>
    <n v="18400"/>
    <x v="6"/>
    <s v="آجل"/>
    <x v="55"/>
  </r>
  <r>
    <x v="1"/>
    <n v="100"/>
    <n v="115"/>
    <n v="11500"/>
    <x v="6"/>
    <s v="آجل"/>
    <x v="55"/>
  </r>
  <r>
    <x v="63"/>
    <n v="108"/>
    <n v="370"/>
    <n v="39960"/>
    <x v="6"/>
    <s v="آجل"/>
    <x v="55"/>
  </r>
  <r>
    <x v="87"/>
    <n v="480"/>
    <n v="85"/>
    <n v="40800"/>
    <x v="6"/>
    <s v="آجل"/>
    <x v="55"/>
  </r>
  <r>
    <x v="4"/>
    <n v="1"/>
    <n v="15"/>
    <n v="15"/>
    <x v="0"/>
    <m/>
    <x v="55"/>
  </r>
  <r>
    <x v="8"/>
    <n v="1"/>
    <n v="40"/>
    <n v="40"/>
    <x v="0"/>
    <m/>
    <x v="55"/>
  </r>
  <r>
    <x v="60"/>
    <n v="1"/>
    <n v="150"/>
    <n v="150"/>
    <x v="0"/>
    <m/>
    <x v="56"/>
  </r>
  <r>
    <x v="4"/>
    <n v="2"/>
    <n v="15"/>
    <n v="30"/>
    <x v="0"/>
    <m/>
    <x v="56"/>
  </r>
  <r>
    <x v="30"/>
    <n v="2"/>
    <n v="300"/>
    <n v="600"/>
    <x v="0"/>
    <s v="آجل"/>
    <x v="56"/>
  </r>
  <r>
    <x v="1"/>
    <n v="3"/>
    <n v="200"/>
    <n v="600"/>
    <x v="0"/>
    <s v="آجل"/>
    <x v="56"/>
  </r>
  <r>
    <x v="10"/>
    <n v="1"/>
    <n v="100"/>
    <n v="100"/>
    <x v="0"/>
    <m/>
    <x v="56"/>
  </r>
  <r>
    <x v="11"/>
    <n v="1"/>
    <n v="100"/>
    <n v="100"/>
    <x v="0"/>
    <m/>
    <x v="56"/>
  </r>
  <r>
    <x v="4"/>
    <n v="2"/>
    <n v="20"/>
    <n v="40"/>
    <x v="0"/>
    <m/>
    <x v="56"/>
  </r>
  <r>
    <x v="8"/>
    <n v="2"/>
    <n v="50"/>
    <n v="100"/>
    <x v="0"/>
    <m/>
    <x v="56"/>
  </r>
  <r>
    <x v="51"/>
    <n v="4"/>
    <n v="350"/>
    <n v="1400"/>
    <x v="5"/>
    <s v="آجل"/>
    <x v="56"/>
  </r>
  <r>
    <x v="3"/>
    <n v="6"/>
    <n v="220"/>
    <n v="1320"/>
    <x v="5"/>
    <s v="آجل"/>
    <x v="56"/>
  </r>
  <r>
    <x v="44"/>
    <n v="2"/>
    <n v="350"/>
    <n v="700"/>
    <x v="5"/>
    <s v="آجل"/>
    <x v="56"/>
  </r>
  <r>
    <x v="2"/>
    <n v="6"/>
    <n v="200"/>
    <n v="1200"/>
    <x v="5"/>
    <s v="آجل"/>
    <x v="56"/>
  </r>
  <r>
    <x v="87"/>
    <n v="3"/>
    <n v="150"/>
    <n v="450"/>
    <x v="5"/>
    <s v="آجل"/>
    <x v="56"/>
  </r>
  <r>
    <x v="88"/>
    <n v="6"/>
    <n v="300"/>
    <n v="1800"/>
    <x v="5"/>
    <s v="آجل"/>
    <x v="56"/>
  </r>
  <r>
    <x v="25"/>
    <n v="7"/>
    <n v="1250"/>
    <n v="8750"/>
    <x v="5"/>
    <s v="آجل"/>
    <x v="56"/>
  </r>
  <r>
    <x v="43"/>
    <n v="2"/>
    <n v="1700"/>
    <n v="3400"/>
    <x v="5"/>
    <s v="آجل"/>
    <x v="56"/>
  </r>
  <r>
    <x v="14"/>
    <n v="16"/>
    <n v="500"/>
    <n v="8000"/>
    <x v="5"/>
    <s v="آجل"/>
    <x v="56"/>
  </r>
  <r>
    <x v="10"/>
    <n v="5"/>
    <n v="800"/>
    <n v="4000"/>
    <x v="5"/>
    <s v="آجل"/>
    <x v="56"/>
  </r>
  <r>
    <x v="11"/>
    <n v="1"/>
    <n v="800"/>
    <n v="800"/>
    <x v="5"/>
    <s v="آجل"/>
    <x v="56"/>
  </r>
  <r>
    <x v="26"/>
    <n v="5"/>
    <n v="500"/>
    <n v="2500"/>
    <x v="5"/>
    <s v="آجل"/>
    <x v="56"/>
  </r>
  <r>
    <x v="40"/>
    <n v="2"/>
    <n v="300"/>
    <n v="600"/>
    <x v="5"/>
    <s v="آجل"/>
    <x v="56"/>
  </r>
  <r>
    <x v="64"/>
    <n v="29"/>
    <n v="40"/>
    <n v="1160"/>
    <x v="5"/>
    <s v="آجل"/>
    <x v="56"/>
  </r>
  <r>
    <x v="44"/>
    <n v="1"/>
    <n v="220"/>
    <n v="220"/>
    <x v="0"/>
    <m/>
    <x v="57"/>
  </r>
  <r>
    <x v="32"/>
    <n v="1"/>
    <n v="100"/>
    <n v="100"/>
    <x v="0"/>
    <m/>
    <x v="57"/>
  </r>
  <r>
    <x v="7"/>
    <n v="2"/>
    <n v="15"/>
    <n v="30"/>
    <x v="0"/>
    <m/>
    <x v="58"/>
  </r>
  <r>
    <x v="33"/>
    <n v="1"/>
    <n v="140"/>
    <n v="140"/>
    <x v="0"/>
    <m/>
    <x v="58"/>
  </r>
  <r>
    <x v="33"/>
    <n v="1"/>
    <n v="200"/>
    <n v="200"/>
    <x v="0"/>
    <m/>
    <x v="58"/>
  </r>
  <r>
    <x v="32"/>
    <n v="1"/>
    <n v="100"/>
    <n v="100"/>
    <x v="0"/>
    <m/>
    <x v="58"/>
  </r>
  <r>
    <x v="89"/>
    <n v="25"/>
    <n v="2000"/>
    <n v="50000"/>
    <x v="6"/>
    <s v="آجل"/>
    <x v="58"/>
  </r>
  <r>
    <x v="67"/>
    <n v="72"/>
    <n v="450"/>
    <n v="32400"/>
    <x v="6"/>
    <s v="آجل"/>
    <x v="58"/>
  </r>
  <r>
    <x v="18"/>
    <n v="60"/>
    <n v="270"/>
    <n v="16200"/>
    <x v="6"/>
    <s v="آجل"/>
    <x v="58"/>
  </r>
  <r>
    <x v="58"/>
    <n v="120"/>
    <n v="220"/>
    <n v="26400"/>
    <x v="6"/>
    <s v="آجل"/>
    <x v="58"/>
  </r>
  <r>
    <x v="19"/>
    <n v="60"/>
    <n v="185"/>
    <n v="11100"/>
    <x v="6"/>
    <s v="آجل"/>
    <x v="58"/>
  </r>
  <r>
    <x v="21"/>
    <n v="60"/>
    <n v="195"/>
    <n v="11700"/>
    <x v="6"/>
    <s v="آجل"/>
    <x v="58"/>
  </r>
  <r>
    <x v="56"/>
    <n v="80"/>
    <n v="400"/>
    <n v="32000"/>
    <x v="6"/>
    <s v="آجل"/>
    <x v="58"/>
  </r>
  <r>
    <x v="0"/>
    <n v="20"/>
    <n v="325"/>
    <n v="6500"/>
    <x v="6"/>
    <s v="آجل"/>
    <x v="58"/>
  </r>
  <r>
    <x v="59"/>
    <n v="60"/>
    <n v="250"/>
    <n v="15000"/>
    <x v="6"/>
    <s v="آجل"/>
    <x v="58"/>
  </r>
  <r>
    <x v="3"/>
    <n v="30"/>
    <n v="90"/>
    <n v="2700"/>
    <x v="6"/>
    <s v="آجل"/>
    <x v="58"/>
  </r>
  <r>
    <x v="90"/>
    <n v="30"/>
    <n v="220"/>
    <n v="6600"/>
    <x v="6"/>
    <s v="آجل"/>
    <x v="58"/>
  </r>
  <r>
    <x v="91"/>
    <n v="50"/>
    <n v="210"/>
    <n v="10500"/>
    <x v="6"/>
    <s v="آجل"/>
    <x v="58"/>
  </r>
  <r>
    <x v="40"/>
    <n v="24"/>
    <n v="210"/>
    <n v="5040"/>
    <x v="6"/>
    <s v="آجل"/>
    <x v="58"/>
  </r>
  <r>
    <x v="33"/>
    <n v="1"/>
    <n v="200"/>
    <n v="200"/>
    <x v="0"/>
    <m/>
    <x v="59"/>
  </r>
  <r>
    <x v="7"/>
    <n v="1"/>
    <n v="10"/>
    <n v="10"/>
    <x v="0"/>
    <m/>
    <x v="59"/>
  </r>
  <r>
    <x v="33"/>
    <n v="1"/>
    <n v="200"/>
    <n v="200"/>
    <x v="0"/>
    <m/>
    <x v="60"/>
  </r>
  <r>
    <x v="50"/>
    <n v="1"/>
    <n v="250"/>
    <n v="250"/>
    <x v="0"/>
    <m/>
    <x v="60"/>
  </r>
  <r>
    <x v="33"/>
    <n v="1"/>
    <n v="100"/>
    <n v="100"/>
    <x v="0"/>
    <m/>
    <x v="61"/>
  </r>
  <r>
    <x v="92"/>
    <n v="1"/>
    <n v="100"/>
    <n v="100"/>
    <x v="0"/>
    <m/>
    <x v="61"/>
  </r>
  <r>
    <x v="4"/>
    <n v="2"/>
    <n v="15"/>
    <n v="30"/>
    <x v="0"/>
    <m/>
    <x v="62"/>
  </r>
  <r>
    <x v="11"/>
    <n v="1"/>
    <n v="80"/>
    <n v="80"/>
    <x v="0"/>
    <m/>
    <x v="62"/>
  </r>
  <r>
    <x v="10"/>
    <n v="1"/>
    <n v="80"/>
    <n v="80"/>
    <x v="0"/>
    <m/>
    <x v="62"/>
  </r>
  <r>
    <x v="28"/>
    <n v="1"/>
    <n v="100"/>
    <n v="100"/>
    <x v="0"/>
    <m/>
    <x v="63"/>
  </r>
  <r>
    <x v="32"/>
    <n v="1"/>
    <n v="60"/>
    <n v="60"/>
    <x v="0"/>
    <m/>
    <x v="63"/>
  </r>
  <r>
    <x v="2"/>
    <n v="1"/>
    <n v="60"/>
    <n v="60"/>
    <x v="0"/>
    <m/>
    <x v="63"/>
  </r>
  <r>
    <x v="36"/>
    <n v="10"/>
    <n v="395"/>
    <n v="3950"/>
    <x v="3"/>
    <s v="آجل"/>
    <x v="63"/>
  </r>
  <r>
    <x v="12"/>
    <n v="10"/>
    <n v="235"/>
    <n v="2350"/>
    <x v="3"/>
    <s v="آجل"/>
    <x v="63"/>
  </r>
  <r>
    <x v="51"/>
    <n v="10"/>
    <n v="228"/>
    <n v="2280"/>
    <x v="3"/>
    <s v="آجل"/>
    <x v="63"/>
  </r>
  <r>
    <x v="63"/>
    <n v="10"/>
    <n v="295"/>
    <n v="2950"/>
    <x v="3"/>
    <s v="آجل"/>
    <x v="63"/>
  </r>
  <r>
    <x v="67"/>
    <n v="10"/>
    <n v="439"/>
    <n v="4390"/>
    <x v="3"/>
    <s v="آجل"/>
    <x v="63"/>
  </r>
  <r>
    <x v="6"/>
    <n v="1"/>
    <n v="239"/>
    <n v="239"/>
    <x v="3"/>
    <s v="آجل"/>
    <x v="63"/>
  </r>
  <r>
    <x v="93"/>
    <n v="10"/>
    <n v="1450"/>
    <n v="14500"/>
    <x v="5"/>
    <s v="آجل"/>
    <x v="63"/>
  </r>
  <r>
    <x v="24"/>
    <n v="10"/>
    <n v="1450"/>
    <n v="14500"/>
    <x v="5"/>
    <s v="آجل"/>
    <x v="63"/>
  </r>
  <r>
    <x v="11"/>
    <n v="5"/>
    <n v="800"/>
    <n v="4000"/>
    <x v="5"/>
    <s v="آجل"/>
    <x v="63"/>
  </r>
  <r>
    <x v="10"/>
    <n v="3"/>
    <n v="800"/>
    <n v="2400"/>
    <x v="5"/>
    <s v="آجل"/>
    <x v="63"/>
  </r>
  <r>
    <x v="86"/>
    <n v="8"/>
    <n v="200"/>
    <n v="1600"/>
    <x v="5"/>
    <s v="آجل"/>
    <x v="63"/>
  </r>
  <r>
    <x v="0"/>
    <n v="4"/>
    <n v="550"/>
    <n v="2200"/>
    <x v="5"/>
    <s v="آجل"/>
    <x v="63"/>
  </r>
  <r>
    <x v="51"/>
    <n v="2"/>
    <n v="350"/>
    <n v="700"/>
    <x v="5"/>
    <s v="مرتجع "/>
    <x v="63"/>
  </r>
  <r>
    <x v="12"/>
    <n v="2"/>
    <n v="400"/>
    <n v="800"/>
    <x v="5"/>
    <s v="آجل"/>
    <x v="63"/>
  </r>
  <r>
    <x v="59"/>
    <n v="6"/>
    <n v="200"/>
    <n v="1200"/>
    <x v="5"/>
    <s v="آجل"/>
    <x v="63"/>
  </r>
  <r>
    <x v="40"/>
    <n v="2"/>
    <n v="300"/>
    <n v="600"/>
    <x v="5"/>
    <s v="آجل"/>
    <x v="63"/>
  </r>
  <r>
    <x v="83"/>
    <n v="4"/>
    <n v="350"/>
    <n v="1400"/>
    <x v="5"/>
    <s v="آجل"/>
    <x v="63"/>
  </r>
  <r>
    <x v="94"/>
    <n v="3"/>
    <n v="300"/>
    <n v="900"/>
    <x v="5"/>
    <s v="آجل"/>
    <x v="63"/>
  </r>
  <r>
    <x v="63"/>
    <n v="4"/>
    <n v="550"/>
    <n v="2200"/>
    <x v="5"/>
    <s v="آجل"/>
    <x v="63"/>
  </r>
  <r>
    <x v="4"/>
    <n v="2"/>
    <n v="15"/>
    <n v="30"/>
    <x v="0"/>
    <m/>
    <x v="64"/>
  </r>
  <r>
    <x v="30"/>
    <n v="5"/>
    <n v="350"/>
    <n v="1750"/>
    <x v="0"/>
    <m/>
    <x v="64"/>
  </r>
  <r>
    <x v="33"/>
    <n v="1"/>
    <n v="130"/>
    <n v="130"/>
    <x v="0"/>
    <m/>
    <x v="64"/>
  </r>
  <r>
    <x v="8"/>
    <n v="1"/>
    <n v="40"/>
    <n v="40"/>
    <x v="0"/>
    <m/>
    <x v="65"/>
  </r>
  <r>
    <x v="18"/>
    <n v="3"/>
    <n v="300"/>
    <n v="900"/>
    <x v="5"/>
    <s v="آجل"/>
    <x v="65"/>
  </r>
  <r>
    <x v="60"/>
    <n v="2"/>
    <n v="200"/>
    <n v="400"/>
    <x v="5"/>
    <s v="آجل"/>
    <x v="65"/>
  </r>
  <r>
    <x v="51"/>
    <n v="1"/>
    <n v="350"/>
    <n v="350"/>
    <x v="5"/>
    <s v="آجل"/>
    <x v="65"/>
  </r>
  <r>
    <x v="33"/>
    <n v="1"/>
    <n v="150"/>
    <n v="150"/>
    <x v="0"/>
    <m/>
    <x v="65"/>
  </r>
  <r>
    <x v="4"/>
    <n v="1"/>
    <n v="20"/>
    <n v="20"/>
    <x v="0"/>
    <m/>
    <x v="65"/>
  </r>
  <r>
    <x v="30"/>
    <n v="1"/>
    <n v="350"/>
    <n v="350"/>
    <x v="0"/>
    <m/>
    <x v="66"/>
  </r>
  <r>
    <x v="33"/>
    <n v="1"/>
    <n v="230"/>
    <n v="230"/>
    <x v="0"/>
    <m/>
    <x v="66"/>
  </r>
  <r>
    <x v="59"/>
    <n v="1"/>
    <n v="200"/>
    <n v="200"/>
    <x v="0"/>
    <m/>
    <x v="66"/>
  </r>
  <r>
    <x v="50"/>
    <n v="1"/>
    <n v="150"/>
    <n v="150"/>
    <x v="0"/>
    <m/>
    <x v="66"/>
  </r>
  <r>
    <x v="4"/>
    <n v="1"/>
    <n v="20"/>
    <n v="20"/>
    <x v="0"/>
    <m/>
    <x v="66"/>
  </r>
  <r>
    <x v="36"/>
    <n v="5"/>
    <n v="500"/>
    <n v="2500"/>
    <x v="5"/>
    <s v="آجل"/>
    <x v="67"/>
  </r>
  <r>
    <x v="1"/>
    <n v="1"/>
    <n v="150"/>
    <n v="150"/>
    <x v="0"/>
    <m/>
    <x v="67"/>
  </r>
  <r>
    <x v="30"/>
    <n v="1"/>
    <n v="350"/>
    <n v="350"/>
    <x v="0"/>
    <m/>
    <x v="68"/>
  </r>
  <r>
    <x v="31"/>
    <n v="1"/>
    <n v="50"/>
    <n v="50"/>
    <x v="0"/>
    <m/>
    <x v="68"/>
  </r>
  <r>
    <x v="1"/>
    <n v="1"/>
    <n v="150"/>
    <n v="150"/>
    <x v="0"/>
    <m/>
    <x v="69"/>
  </r>
  <r>
    <x v="4"/>
    <n v="1"/>
    <n v="20"/>
    <n v="20"/>
    <x v="0"/>
    <m/>
    <x v="69"/>
  </r>
  <r>
    <x v="16"/>
    <n v="1"/>
    <n v="350"/>
    <n v="350"/>
    <x v="0"/>
    <m/>
    <x v="69"/>
  </r>
  <r>
    <x v="89"/>
    <n v="3"/>
    <n v="3000"/>
    <n v="9000"/>
    <x v="8"/>
    <s v="آجل"/>
    <x v="69"/>
  </r>
  <r>
    <x v="14"/>
    <n v="4"/>
    <n v="420"/>
    <n v="1680"/>
    <x v="8"/>
    <s v="آجل"/>
    <x v="69"/>
  </r>
  <r>
    <x v="30"/>
    <n v="1"/>
    <n v="350"/>
    <n v="350"/>
    <x v="0"/>
    <m/>
    <x v="70"/>
  </r>
  <r>
    <x v="0"/>
    <n v="1"/>
    <n v="300"/>
    <n v="300"/>
    <x v="0"/>
    <m/>
    <x v="71"/>
  </r>
  <r>
    <x v="33"/>
    <n v="1"/>
    <n v="150"/>
    <n v="150"/>
    <x v="0"/>
    <m/>
    <x v="72"/>
  </r>
  <r>
    <x v="33"/>
    <n v="1"/>
    <n v="150"/>
    <n v="150"/>
    <x v="0"/>
    <m/>
    <x v="73"/>
  </r>
  <r>
    <x v="51"/>
    <n v="0.1"/>
    <n v="500"/>
    <n v="50"/>
    <x v="0"/>
    <m/>
    <x v="74"/>
  </r>
  <r>
    <x v="4"/>
    <n v="1"/>
    <n v="25"/>
    <n v="25"/>
    <x v="0"/>
    <m/>
    <x v="74"/>
  </r>
  <r>
    <x v="11"/>
    <n v="0.2"/>
    <n v="500"/>
    <n v="100"/>
    <x v="0"/>
    <m/>
    <x v="75"/>
  </r>
  <r>
    <x v="33"/>
    <n v="1"/>
    <n v="150"/>
    <n v="150"/>
    <x v="0"/>
    <m/>
    <x v="75"/>
  </r>
  <r>
    <x v="30"/>
    <n v="2"/>
    <n v="350"/>
    <n v="700"/>
    <x v="0"/>
    <m/>
    <x v="76"/>
  </r>
  <r>
    <x v="64"/>
    <n v="25"/>
    <n v="40"/>
    <n v="1000"/>
    <x v="7"/>
    <s v="آجل"/>
    <x v="76"/>
  </r>
  <r>
    <x v="4"/>
    <n v="4"/>
    <n v="15"/>
    <n v="60"/>
    <x v="0"/>
    <m/>
    <x v="77"/>
  </r>
  <r>
    <x v="11"/>
    <n v="1"/>
    <n v="100"/>
    <n v="100"/>
    <x v="0"/>
    <m/>
    <x v="77"/>
  </r>
  <r>
    <x v="63"/>
    <n v="4"/>
    <n v="500"/>
    <n v="2000"/>
    <x v="5"/>
    <s v="آجل"/>
    <x v="77"/>
  </r>
  <r>
    <x v="53"/>
    <n v="4"/>
    <n v="750"/>
    <n v="3000"/>
    <x v="5"/>
    <s v="آجل"/>
    <x v="77"/>
  </r>
  <r>
    <x v="95"/>
    <n v="4"/>
    <n v="120"/>
    <n v="480"/>
    <x v="5"/>
    <s v="آجل"/>
    <x v="77"/>
  </r>
  <r>
    <x v="60"/>
    <n v="4"/>
    <n v="200"/>
    <n v="800"/>
    <x v="5"/>
    <s v="آجل"/>
    <x v="77"/>
  </r>
  <r>
    <x v="18"/>
    <n v="2"/>
    <n v="300"/>
    <n v="600"/>
    <x v="5"/>
    <s v="آجل"/>
    <x v="77"/>
  </r>
  <r>
    <x v="11"/>
    <n v="1"/>
    <n v="500"/>
    <n v="500"/>
    <x v="5"/>
    <s v="آجل"/>
    <x v="77"/>
  </r>
  <r>
    <x v="24"/>
    <n v="5"/>
    <n v="1335"/>
    <n v="6675"/>
    <x v="5"/>
    <s v="آجل"/>
    <x v="78"/>
  </r>
  <r>
    <x v="25"/>
    <n v="5"/>
    <n v="760"/>
    <n v="3800"/>
    <x v="5"/>
    <s v="آجل"/>
    <x v="78"/>
  </r>
  <r>
    <x v="93"/>
    <n v="5"/>
    <n v="1335"/>
    <n v="6675"/>
    <x v="5"/>
    <s v="آجل"/>
    <x v="78"/>
  </r>
  <r>
    <x v="15"/>
    <n v="6"/>
    <n v="1050"/>
    <n v="6300"/>
    <x v="5"/>
    <s v="آجل"/>
    <x v="78"/>
  </r>
  <r>
    <x v="11"/>
    <n v="5"/>
    <n v="500"/>
    <n v="2500"/>
    <x v="5"/>
    <s v="آجل"/>
    <x v="78"/>
  </r>
  <r>
    <x v="64"/>
    <n v="50"/>
    <n v="40"/>
    <n v="2000"/>
    <x v="5"/>
    <s v="آجل"/>
    <x v="78"/>
  </r>
  <r>
    <x v="96"/>
    <n v="1"/>
    <n v="150"/>
    <n v="150"/>
    <x v="0"/>
    <m/>
    <x v="78"/>
  </r>
  <r>
    <x v="30"/>
    <n v="1"/>
    <n v="350"/>
    <n v="350"/>
    <x v="0"/>
    <m/>
    <x v="78"/>
  </r>
  <r>
    <x v="33"/>
    <n v="1"/>
    <n v="200"/>
    <n v="200"/>
    <x v="0"/>
    <m/>
    <x v="79"/>
  </r>
  <r>
    <x v="4"/>
    <n v="1"/>
    <n v="15"/>
    <n v="15"/>
    <x v="0"/>
    <m/>
    <x v="80"/>
  </r>
  <r>
    <x v="11"/>
    <n v="1"/>
    <n v="100"/>
    <n v="100"/>
    <x v="0"/>
    <m/>
    <x v="80"/>
  </r>
  <r>
    <x v="30"/>
    <n v="1"/>
    <n v="400"/>
    <n v="400"/>
    <x v="0"/>
    <m/>
    <x v="81"/>
  </r>
  <r>
    <x v="33"/>
    <n v="1"/>
    <n v="150"/>
    <n v="150"/>
    <x v="0"/>
    <m/>
    <x v="81"/>
  </r>
  <r>
    <x v="40"/>
    <n v="1"/>
    <n v="300"/>
    <n v="300"/>
    <x v="0"/>
    <m/>
    <x v="82"/>
  </r>
  <r>
    <x v="44"/>
    <n v="1"/>
    <n v="220"/>
    <n v="220"/>
    <x v="0"/>
    <s v="مرتجع "/>
    <x v="82"/>
  </r>
  <r>
    <x v="22"/>
    <n v="1"/>
    <n v="130"/>
    <n v="130"/>
    <x v="0"/>
    <m/>
    <x v="82"/>
  </r>
  <r>
    <x v="60"/>
    <n v="1"/>
    <n v="180"/>
    <n v="180"/>
    <x v="0"/>
    <m/>
    <x v="82"/>
  </r>
  <r>
    <x v="11"/>
    <n v="1"/>
    <n v="100"/>
    <n v="100"/>
    <x v="0"/>
    <m/>
    <x v="82"/>
  </r>
  <r>
    <x v="4"/>
    <n v="3"/>
    <n v="15"/>
    <n v="45"/>
    <x v="0"/>
    <m/>
    <x v="83"/>
  </r>
  <r>
    <x v="30"/>
    <n v="1"/>
    <n v="350"/>
    <n v="350"/>
    <x v="0"/>
    <m/>
    <x v="83"/>
  </r>
  <r>
    <x v="60"/>
    <n v="1"/>
    <n v="180"/>
    <n v="180"/>
    <x v="0"/>
    <m/>
    <x v="84"/>
  </r>
  <r>
    <x v="33"/>
    <n v="1"/>
    <n v="150"/>
    <n v="150"/>
    <x v="0"/>
    <m/>
    <x v="84"/>
  </r>
  <r>
    <x v="30"/>
    <n v="1"/>
    <n v="370"/>
    <n v="370"/>
    <x v="0"/>
    <m/>
    <x v="85"/>
  </r>
  <r>
    <x v="50"/>
    <n v="2"/>
    <n v="300"/>
    <n v="600"/>
    <x v="0"/>
    <m/>
    <x v="85"/>
  </r>
  <r>
    <x v="89"/>
    <n v="1.5"/>
    <n v="100"/>
    <n v="150"/>
    <x v="0"/>
    <m/>
    <x v="85"/>
  </r>
  <r>
    <x v="11"/>
    <n v="1"/>
    <n v="250"/>
    <n v="250"/>
    <x v="0"/>
    <m/>
    <x v="85"/>
  </r>
  <r>
    <x v="4"/>
    <n v="2"/>
    <n v="15"/>
    <n v="30"/>
    <x v="0"/>
    <m/>
    <x v="86"/>
  </r>
  <r>
    <x v="11"/>
    <n v="2"/>
    <n v="100"/>
    <n v="200"/>
    <x v="0"/>
    <m/>
    <x v="86"/>
  </r>
  <r>
    <x v="63"/>
    <n v="1"/>
    <n v="300"/>
    <n v="300"/>
    <x v="0"/>
    <m/>
    <x v="86"/>
  </r>
  <r>
    <x v="46"/>
    <n v="1"/>
    <n v="200"/>
    <n v="200"/>
    <x v="0"/>
    <m/>
    <x v="86"/>
  </r>
  <r>
    <x v="4"/>
    <n v="1"/>
    <n v="15"/>
    <n v="15"/>
    <x v="0"/>
    <m/>
    <x v="87"/>
  </r>
  <r>
    <x v="63"/>
    <n v="1"/>
    <n v="350"/>
    <n v="350"/>
    <x v="0"/>
    <m/>
    <x v="88"/>
  </r>
  <r>
    <x v="61"/>
    <n v="1"/>
    <n v="300"/>
    <n v="300"/>
    <x v="0"/>
    <m/>
    <x v="89"/>
  </r>
  <r>
    <x v="4"/>
    <n v="1"/>
    <n v="10"/>
    <n v="10"/>
    <x v="0"/>
    <m/>
    <x v="90"/>
  </r>
  <r>
    <x v="4"/>
    <n v="2"/>
    <n v="20"/>
    <n v="40"/>
    <x v="0"/>
    <m/>
    <x v="91"/>
  </r>
  <r>
    <x v="25"/>
    <n v="5"/>
    <n v="1250"/>
    <n v="6250"/>
    <x v="5"/>
    <m/>
    <x v="92"/>
  </r>
  <r>
    <x v="24"/>
    <n v="3"/>
    <n v="1450"/>
    <n v="4350"/>
    <x v="5"/>
    <m/>
    <x v="92"/>
  </r>
  <r>
    <x v="93"/>
    <n v="4"/>
    <n v="1450"/>
    <n v="5800"/>
    <x v="5"/>
    <m/>
    <x v="92"/>
  </r>
  <r>
    <x v="90"/>
    <n v="4"/>
    <n v="250"/>
    <n v="1000"/>
    <x v="5"/>
    <m/>
    <x v="92"/>
  </r>
  <r>
    <x v="0"/>
    <n v="3"/>
    <n v="550"/>
    <n v="1650"/>
    <x v="5"/>
    <m/>
    <x v="92"/>
  </r>
  <r>
    <x v="36"/>
    <n v="6"/>
    <n v="650"/>
    <n v="3900"/>
    <x v="5"/>
    <m/>
    <x v="92"/>
  </r>
  <r>
    <x v="15"/>
    <n v="4"/>
    <n v="500"/>
    <n v="2000"/>
    <x v="5"/>
    <m/>
    <x v="92"/>
  </r>
  <r>
    <x v="50"/>
    <n v="1"/>
    <n v="250"/>
    <n v="250"/>
    <x v="0"/>
    <m/>
    <x v="92"/>
  </r>
  <r>
    <x v="46"/>
    <n v="1"/>
    <n v="300"/>
    <n v="300"/>
    <x v="0"/>
    <m/>
    <x v="92"/>
  </r>
  <r>
    <x v="34"/>
    <n v="1"/>
    <n v="100"/>
    <n v="100"/>
    <x v="0"/>
    <m/>
    <x v="92"/>
  </r>
  <r>
    <x v="50"/>
    <n v="1"/>
    <n v="250"/>
    <n v="250"/>
    <x v="0"/>
    <m/>
    <x v="93"/>
  </r>
  <r>
    <x v="46"/>
    <n v="1"/>
    <n v="250"/>
    <n v="250"/>
    <x v="0"/>
    <m/>
    <x v="93"/>
  </r>
  <r>
    <x v="33"/>
    <n v="1"/>
    <n v="200"/>
    <n v="200"/>
    <x v="0"/>
    <m/>
    <x v="94"/>
  </r>
  <r>
    <x v="89"/>
    <n v="1"/>
    <n v="135"/>
    <n v="135"/>
    <x v="0"/>
    <m/>
    <x v="94"/>
  </r>
  <r>
    <x v="4"/>
    <n v="2"/>
    <n v="15"/>
    <n v="30"/>
    <x v="0"/>
    <m/>
    <x v="95"/>
  </r>
  <r>
    <x v="89"/>
    <n v="0.5"/>
    <n v="110"/>
    <n v="55"/>
    <x v="0"/>
    <m/>
    <x v="95"/>
  </r>
  <r>
    <x v="89"/>
    <n v="3"/>
    <n v="150"/>
    <n v="450"/>
    <x v="0"/>
    <m/>
    <x v="96"/>
  </r>
  <r>
    <x v="89"/>
    <n v="0.5"/>
    <n v="140"/>
    <n v="70"/>
    <x v="0"/>
    <s v="آجل"/>
    <x v="97"/>
  </r>
  <r>
    <x v="89"/>
    <n v="3"/>
    <n v="143.30000000000001"/>
    <n v="429.90000000000003"/>
    <x v="0"/>
    <m/>
    <x v="98"/>
  </r>
  <r>
    <x v="89"/>
    <n v="1"/>
    <n v="150"/>
    <n v="150"/>
    <x v="0"/>
    <m/>
    <x v="98"/>
  </r>
  <r>
    <x v="51"/>
    <n v="1"/>
    <n v="320"/>
    <n v="320"/>
    <x v="0"/>
    <m/>
    <x v="98"/>
  </r>
  <r>
    <x v="50"/>
    <n v="1"/>
    <n v="250"/>
    <n v="250"/>
    <x v="0"/>
    <m/>
    <x v="99"/>
  </r>
  <r>
    <x v="89"/>
    <n v="0.5"/>
    <n v="140"/>
    <n v="70"/>
    <x v="0"/>
    <m/>
    <x v="99"/>
  </r>
  <r>
    <x v="4"/>
    <n v="2"/>
    <n v="10"/>
    <n v="20"/>
    <x v="0"/>
    <m/>
    <x v="99"/>
  </r>
  <r>
    <x v="50"/>
    <n v="2"/>
    <n v="300"/>
    <n v="600"/>
    <x v="0"/>
    <m/>
    <x v="100"/>
  </r>
  <r>
    <x v="11"/>
    <n v="1"/>
    <n v="100"/>
    <n v="100"/>
    <x v="0"/>
    <m/>
    <x v="100"/>
  </r>
  <r>
    <x v="4"/>
    <n v="2"/>
    <n v="15"/>
    <n v="30"/>
    <x v="0"/>
    <m/>
    <x v="101"/>
  </r>
  <r>
    <x v="33"/>
    <n v="1"/>
    <n v="150"/>
    <n v="150"/>
    <x v="0"/>
    <m/>
    <x v="102"/>
  </r>
  <r>
    <x v="50"/>
    <n v="1"/>
    <n v="300"/>
    <n v="300"/>
    <x v="0"/>
    <m/>
    <x v="102"/>
  </r>
  <r>
    <x v="4"/>
    <n v="2"/>
    <n v="15"/>
    <n v="30"/>
    <x v="0"/>
    <m/>
    <x v="103"/>
  </r>
  <r>
    <x v="50"/>
    <n v="1"/>
    <n v="300"/>
    <n v="300"/>
    <x v="0"/>
    <m/>
    <x v="104"/>
  </r>
  <r>
    <x v="11"/>
    <n v="1"/>
    <n v="100"/>
    <n v="100"/>
    <x v="0"/>
    <m/>
    <x v="105"/>
  </r>
  <r>
    <x v="4"/>
    <n v="1"/>
    <n v="15"/>
    <n v="15"/>
    <x v="0"/>
    <m/>
    <x v="105"/>
  </r>
  <r>
    <x v="12"/>
    <n v="1"/>
    <n v="350"/>
    <n v="350"/>
    <x v="0"/>
    <m/>
    <x v="106"/>
  </r>
  <r>
    <x v="60"/>
    <n v="1"/>
    <n v="200"/>
    <n v="200"/>
    <x v="0"/>
    <m/>
    <x v="106"/>
  </r>
  <r>
    <x v="50"/>
    <n v="1"/>
    <n v="250"/>
    <n v="250"/>
    <x v="0"/>
    <m/>
    <x v="106"/>
  </r>
  <r>
    <x v="4"/>
    <n v="1"/>
    <n v="12"/>
    <n v="12"/>
    <x v="0"/>
    <m/>
    <x v="106"/>
  </r>
  <r>
    <x v="4"/>
    <n v="1"/>
    <n v="15"/>
    <n v="15"/>
    <x v="0"/>
    <m/>
    <x v="107"/>
  </r>
  <r>
    <x v="4"/>
    <n v="1"/>
    <n v="15"/>
    <n v="15"/>
    <x v="0"/>
    <m/>
    <x v="108"/>
  </r>
  <r>
    <x v="24"/>
    <n v="20"/>
    <n v="1700"/>
    <n v="34000"/>
    <x v="9"/>
    <m/>
    <x v="109"/>
  </r>
  <r>
    <x v="25"/>
    <n v="20"/>
    <n v="1000"/>
    <n v="20000"/>
    <x v="9"/>
    <m/>
    <x v="109"/>
  </r>
  <r>
    <x v="93"/>
    <n v="20"/>
    <n v="1600"/>
    <n v="32000"/>
    <x v="9"/>
    <m/>
    <x v="109"/>
  </r>
  <r>
    <x v="15"/>
    <n v="25"/>
    <n v="1500"/>
    <n v="37500"/>
    <x v="9"/>
    <m/>
    <x v="109"/>
  </r>
  <r>
    <x v="11"/>
    <n v="15"/>
    <n v="700"/>
    <n v="10500"/>
    <x v="9"/>
    <m/>
    <x v="109"/>
  </r>
  <r>
    <x v="89"/>
    <n v="2"/>
    <n v="3500"/>
    <n v="7000"/>
    <x v="9"/>
    <m/>
    <x v="109"/>
  </r>
  <r>
    <x v="51"/>
    <n v="1"/>
    <n v="85"/>
    <n v="85"/>
    <x v="0"/>
    <m/>
    <x v="109"/>
  </r>
  <r>
    <x v="89"/>
    <n v="1"/>
    <n v="2000"/>
    <n v="2000"/>
    <x v="0"/>
    <m/>
    <x v="110"/>
  </r>
  <r>
    <x v="46"/>
    <n v="1"/>
    <n v="300"/>
    <n v="300"/>
    <x v="0"/>
    <m/>
    <x v="110"/>
  </r>
  <r>
    <x v="50"/>
    <n v="1"/>
    <n v="300"/>
    <n v="300"/>
    <x v="0"/>
    <m/>
    <x v="110"/>
  </r>
  <r>
    <x v="33"/>
    <n v="1"/>
    <n v="200"/>
    <n v="200"/>
    <x v="0"/>
    <m/>
    <x v="110"/>
  </r>
  <r>
    <x v="60"/>
    <n v="2"/>
    <n v="300"/>
    <n v="600"/>
    <x v="0"/>
    <m/>
    <x v="110"/>
  </r>
  <r>
    <x v="50"/>
    <n v="1"/>
    <n v="300"/>
    <n v="300"/>
    <x v="0"/>
    <m/>
    <x v="111"/>
  </r>
  <r>
    <x v="4"/>
    <n v="2"/>
    <n v="15"/>
    <n v="30"/>
    <x v="0"/>
    <m/>
    <x v="111"/>
  </r>
  <r>
    <x v="51"/>
    <n v="2"/>
    <n v="350"/>
    <n v="700"/>
    <x v="0"/>
    <m/>
    <x v="111"/>
  </r>
  <r>
    <x v="95"/>
    <n v="1"/>
    <n v="100"/>
    <n v="100"/>
    <x v="0"/>
    <m/>
    <x v="111"/>
  </r>
  <r>
    <x v="50"/>
    <n v="1"/>
    <n v="270"/>
    <n v="270"/>
    <x v="0"/>
    <m/>
    <x v="111"/>
  </r>
  <r>
    <x v="60"/>
    <n v="1"/>
    <n v="150"/>
    <n v="150"/>
    <x v="0"/>
    <m/>
    <x v="111"/>
  </r>
  <r>
    <x v="4"/>
    <n v="1"/>
    <n v="15"/>
    <n v="15"/>
    <x v="0"/>
    <m/>
    <x v="112"/>
  </r>
  <r>
    <x v="33"/>
    <n v="1"/>
    <n v="200"/>
    <n v="200"/>
    <x v="0"/>
    <m/>
    <x v="113"/>
  </r>
  <r>
    <x v="51"/>
    <n v="0.25"/>
    <n v="300"/>
    <n v="75"/>
    <x v="0"/>
    <m/>
    <x v="113"/>
  </r>
  <r>
    <x v="23"/>
    <n v="6"/>
    <n v="150"/>
    <n v="900"/>
    <x v="5"/>
    <m/>
    <x v="114"/>
  </r>
  <r>
    <x v="0"/>
    <n v="3"/>
    <n v="550"/>
    <n v="1650"/>
    <x v="5"/>
    <m/>
    <x v="114"/>
  </r>
  <r>
    <x v="33"/>
    <n v="6"/>
    <n v="250"/>
    <n v="1500"/>
    <x v="5"/>
    <m/>
    <x v="114"/>
  </r>
  <r>
    <x v="8"/>
    <n v="3"/>
    <n v="40"/>
    <n v="120"/>
    <x v="0"/>
    <m/>
    <x v="114"/>
  </r>
  <r>
    <x v="21"/>
    <n v="1"/>
    <n v="350"/>
    <n v="350"/>
    <x v="0"/>
    <m/>
    <x v="114"/>
  </r>
  <r>
    <x v="51"/>
    <n v="1"/>
    <n v="350"/>
    <n v="350"/>
    <x v="0"/>
    <m/>
    <x v="114"/>
  </r>
  <r>
    <x v="4"/>
    <n v="3"/>
    <n v="15"/>
    <n v="45"/>
    <x v="0"/>
    <m/>
    <x v="114"/>
  </r>
  <r>
    <x v="50"/>
    <n v="1"/>
    <n v="300"/>
    <n v="300"/>
    <x v="0"/>
    <m/>
    <x v="114"/>
  </r>
  <r>
    <x v="51"/>
    <n v="1"/>
    <n v="350"/>
    <n v="350"/>
    <x v="0"/>
    <m/>
    <x v="115"/>
  </r>
  <r>
    <x v="95"/>
    <n v="1"/>
    <n v="100"/>
    <n v="100"/>
    <x v="0"/>
    <m/>
    <x v="115"/>
  </r>
  <r>
    <x v="30"/>
    <n v="3"/>
    <n v="400"/>
    <n v="1200"/>
    <x v="0"/>
    <m/>
    <x v="115"/>
  </r>
  <r>
    <x v="46"/>
    <n v="1"/>
    <n v="300"/>
    <n v="300"/>
    <x v="0"/>
    <m/>
    <x v="115"/>
  </r>
  <r>
    <x v="4"/>
    <n v="1"/>
    <n v="20"/>
    <n v="20"/>
    <x v="0"/>
    <m/>
    <x v="115"/>
  </r>
  <r>
    <x v="60"/>
    <n v="1"/>
    <n v="180"/>
    <n v="180"/>
    <x v="0"/>
    <m/>
    <x v="116"/>
  </r>
  <r>
    <x v="33"/>
    <n v="1"/>
    <n v="150"/>
    <n v="150"/>
    <x v="0"/>
    <m/>
    <x v="116"/>
  </r>
  <r>
    <x v="95"/>
    <n v="1"/>
    <n v="100"/>
    <n v="100"/>
    <x v="0"/>
    <m/>
    <x v="116"/>
  </r>
  <r>
    <x v="12"/>
    <n v="0.5"/>
    <n v="300"/>
    <n v="150"/>
    <x v="0"/>
    <m/>
    <x v="116"/>
  </r>
  <r>
    <x v="46"/>
    <n v="1"/>
    <n v="350"/>
    <n v="350"/>
    <x v="0"/>
    <m/>
    <x v="116"/>
  </r>
  <r>
    <x v="4"/>
    <n v="1"/>
    <n v="15"/>
    <n v="15"/>
    <x v="0"/>
    <m/>
    <x v="116"/>
  </r>
  <r>
    <x v="89"/>
    <n v="1"/>
    <n v="250"/>
    <n v="250"/>
    <x v="0"/>
    <m/>
    <x v="117"/>
  </r>
  <r>
    <x v="44"/>
    <n v="2"/>
    <n v="250"/>
    <n v="500"/>
    <x v="0"/>
    <m/>
    <x v="118"/>
  </r>
  <r>
    <x v="23"/>
    <n v="2"/>
    <n v="125"/>
    <n v="250"/>
    <x v="0"/>
    <m/>
    <x v="118"/>
  </r>
  <r>
    <x v="51"/>
    <n v="1"/>
    <n v="350"/>
    <n v="350"/>
    <x v="0"/>
    <m/>
    <x v="118"/>
  </r>
  <r>
    <x v="50"/>
    <n v="3"/>
    <n v="300"/>
    <n v="900"/>
    <x v="0"/>
    <m/>
    <x v="118"/>
  </r>
  <r>
    <x v="60"/>
    <n v="2"/>
    <n v="200"/>
    <n v="400"/>
    <x v="0"/>
    <m/>
    <x v="118"/>
  </r>
  <r>
    <x v="89"/>
    <n v="1"/>
    <n v="150"/>
    <n v="150"/>
    <x v="0"/>
    <m/>
    <x v="118"/>
  </r>
  <r>
    <x v="34"/>
    <n v="1"/>
    <n v="100"/>
    <n v="100"/>
    <x v="0"/>
    <m/>
    <x v="119"/>
  </r>
  <r>
    <x v="89"/>
    <n v="3"/>
    <n v="200"/>
    <n v="600"/>
    <x v="0"/>
    <m/>
    <x v="119"/>
  </r>
  <r>
    <x v="32"/>
    <n v="2"/>
    <n v="90"/>
    <n v="180"/>
    <x v="0"/>
    <m/>
    <x v="120"/>
  </r>
  <r>
    <x v="44"/>
    <n v="1"/>
    <n v="200"/>
    <n v="200"/>
    <x v="0"/>
    <m/>
    <x v="120"/>
  </r>
  <r>
    <x v="89"/>
    <n v="0.5"/>
    <n v="200"/>
    <n v="100"/>
    <x v="0"/>
    <m/>
    <x v="120"/>
  </r>
  <r>
    <x v="12"/>
    <n v="0.5"/>
    <n v="350"/>
    <n v="175"/>
    <x v="0"/>
    <m/>
    <x v="120"/>
  </r>
  <r>
    <x v="89"/>
    <n v="1.25"/>
    <n v="200"/>
    <n v="250"/>
    <x v="0"/>
    <m/>
    <x v="120"/>
  </r>
  <r>
    <x v="46"/>
    <n v="1"/>
    <n v="350"/>
    <n v="350"/>
    <x v="0"/>
    <m/>
    <x v="120"/>
  </r>
  <r>
    <x v="50"/>
    <n v="1"/>
    <n v="300"/>
    <n v="300"/>
    <x v="0"/>
    <m/>
    <x v="120"/>
  </r>
  <r>
    <x v="60"/>
    <n v="1"/>
    <n v="200"/>
    <n v="200"/>
    <x v="0"/>
    <m/>
    <x v="120"/>
  </r>
  <r>
    <x v="11"/>
    <n v="10"/>
    <n v="800"/>
    <n v="8000"/>
    <x v="5"/>
    <m/>
    <x v="121"/>
  </r>
  <r>
    <x v="89"/>
    <n v="1"/>
    <n v="3500"/>
    <n v="3500"/>
    <x v="5"/>
    <m/>
    <x v="121"/>
  </r>
  <r>
    <x v="60"/>
    <n v="20"/>
    <n v="200"/>
    <n v="4000"/>
    <x v="5"/>
    <m/>
    <x v="121"/>
  </r>
  <r>
    <x v="24"/>
    <n v="6"/>
    <n v="1450"/>
    <n v="8700"/>
    <x v="5"/>
    <m/>
    <x v="121"/>
  </r>
  <r>
    <x v="25"/>
    <n v="6"/>
    <n v="1250"/>
    <n v="7500"/>
    <x v="5"/>
    <m/>
    <x v="121"/>
  </r>
  <r>
    <x v="15"/>
    <n v="6"/>
    <n v="500"/>
    <n v="3000"/>
    <x v="5"/>
    <m/>
    <x v="121"/>
  </r>
  <r>
    <x v="60"/>
    <n v="1"/>
    <n v="200"/>
    <n v="200"/>
    <x v="0"/>
    <m/>
    <x v="121"/>
  </r>
  <r>
    <x v="12"/>
    <n v="1"/>
    <n v="300"/>
    <n v="300"/>
    <x v="0"/>
    <m/>
    <x v="121"/>
  </r>
  <r>
    <x v="89"/>
    <n v="0.25"/>
    <n v="200"/>
    <n v="50"/>
    <x v="0"/>
    <m/>
    <x v="121"/>
  </r>
  <r>
    <x v="60"/>
    <n v="0.3"/>
    <n v="200"/>
    <n v="60"/>
    <x v="0"/>
    <m/>
    <x v="121"/>
  </r>
  <r>
    <x v="50"/>
    <n v="1"/>
    <n v="300"/>
    <n v="300"/>
    <x v="0"/>
    <m/>
    <x v="121"/>
  </r>
  <r>
    <x v="59"/>
    <n v="1"/>
    <n v="300"/>
    <n v="300"/>
    <x v="0"/>
    <m/>
    <x v="122"/>
  </r>
  <r>
    <x v="60"/>
    <n v="1"/>
    <n v="200"/>
    <n v="200"/>
    <x v="0"/>
    <m/>
    <x v="122"/>
  </r>
  <r>
    <x v="60"/>
    <n v="0.7"/>
    <n v="200"/>
    <n v="140"/>
    <x v="0"/>
    <m/>
    <x v="123"/>
  </r>
  <r>
    <x v="82"/>
    <n v="1"/>
    <n v="200"/>
    <n v="200"/>
    <x v="0"/>
    <m/>
    <x v="123"/>
  </r>
  <r>
    <x v="95"/>
    <n v="1"/>
    <n v="100"/>
    <n v="100"/>
    <x v="0"/>
    <m/>
    <x v="123"/>
  </r>
  <r>
    <x v="4"/>
    <n v="3"/>
    <n v="15"/>
    <n v="45"/>
    <x v="0"/>
    <m/>
    <x v="123"/>
  </r>
  <r>
    <x v="50"/>
    <n v="1"/>
    <n v="300"/>
    <n v="300"/>
    <x v="0"/>
    <m/>
    <x v="123"/>
  </r>
  <r>
    <x v="89"/>
    <n v="1.7"/>
    <n v="200"/>
    <n v="340"/>
    <x v="0"/>
    <m/>
    <x v="124"/>
  </r>
  <r>
    <x v="60"/>
    <n v="0.5"/>
    <n v="160"/>
    <n v="80"/>
    <x v="0"/>
    <m/>
    <x v="124"/>
  </r>
  <r>
    <x v="12"/>
    <n v="0.1666"/>
    <n v="300"/>
    <n v="49.98"/>
    <x v="0"/>
    <m/>
    <x v="124"/>
  </r>
  <r>
    <x v="89"/>
    <n v="2"/>
    <n v="1800"/>
    <n v="3600"/>
    <x v="3"/>
    <m/>
    <x v="124"/>
  </r>
  <r>
    <x v="0"/>
    <n v="1"/>
    <n v="500"/>
    <n v="500"/>
    <x v="9"/>
    <m/>
    <x v="125"/>
  </r>
  <r>
    <x v="59"/>
    <n v="1"/>
    <n v="300"/>
    <n v="300"/>
    <x v="9"/>
    <m/>
    <x v="125"/>
  </r>
  <r>
    <x v="4"/>
    <n v="1"/>
    <n v="15"/>
    <n v="15"/>
    <x v="0"/>
    <m/>
    <x v="125"/>
  </r>
  <r>
    <x v="97"/>
    <n v="2"/>
    <n v="25"/>
    <n v="50"/>
    <x v="9"/>
    <m/>
    <x v="126"/>
  </r>
  <r>
    <x v="24"/>
    <n v="5"/>
    <n v="1700"/>
    <n v="8500"/>
    <x v="9"/>
    <m/>
    <x v="126"/>
  </r>
  <r>
    <x v="25"/>
    <n v="5"/>
    <n v="1000"/>
    <n v="5000"/>
    <x v="9"/>
    <m/>
    <x v="126"/>
  </r>
  <r>
    <x v="15"/>
    <n v="5"/>
    <n v="1500"/>
    <n v="7500"/>
    <x v="9"/>
    <m/>
    <x v="126"/>
  </r>
  <r>
    <x v="93"/>
    <n v="5"/>
    <n v="1600"/>
    <n v="8000"/>
    <x v="9"/>
    <m/>
    <x v="126"/>
  </r>
  <r>
    <x v="11"/>
    <n v="10"/>
    <n v="700"/>
    <n v="7000"/>
    <x v="9"/>
    <m/>
    <x v="126"/>
  </r>
  <r>
    <x v="3"/>
    <n v="6"/>
    <n v="220"/>
    <n v="1320"/>
    <x v="9"/>
    <m/>
    <x v="126"/>
  </r>
  <r>
    <x v="53"/>
    <n v="5"/>
    <n v="750"/>
    <n v="3750"/>
    <x v="9"/>
    <m/>
    <x v="126"/>
  </r>
  <r>
    <x v="5"/>
    <n v="3"/>
    <n v="350"/>
    <n v="1050"/>
    <x v="9"/>
    <m/>
    <x v="126"/>
  </r>
  <r>
    <x v="98"/>
    <n v="50"/>
    <n v="1000"/>
    <n v="50000"/>
    <x v="9"/>
    <m/>
    <x v="126"/>
  </r>
  <r>
    <x v="33"/>
    <n v="5"/>
    <n v="250"/>
    <n v="1250"/>
    <x v="9"/>
    <m/>
    <x v="126"/>
  </r>
  <r>
    <x v="87"/>
    <n v="5"/>
    <n v="100"/>
    <n v="500"/>
    <x v="9"/>
    <m/>
    <x v="126"/>
  </r>
  <r>
    <x v="60"/>
    <n v="5"/>
    <n v="350"/>
    <n v="1750"/>
    <x v="9"/>
    <m/>
    <x v="126"/>
  </r>
  <r>
    <x v="96"/>
    <n v="5"/>
    <n v="350"/>
    <n v="1750"/>
    <x v="9"/>
    <m/>
    <x v="126"/>
  </r>
  <r>
    <x v="99"/>
    <n v="5"/>
    <n v="350"/>
    <n v="1750"/>
    <x v="9"/>
    <m/>
    <x v="126"/>
  </r>
  <r>
    <x v="90"/>
    <n v="5"/>
    <n v="350"/>
    <n v="1750"/>
    <x v="9"/>
    <m/>
    <x v="126"/>
  </r>
  <r>
    <x v="18"/>
    <n v="3"/>
    <n v="300"/>
    <n v="900"/>
    <x v="9"/>
    <m/>
    <x v="126"/>
  </r>
  <r>
    <x v="20"/>
    <n v="3"/>
    <n v="300"/>
    <n v="900"/>
    <x v="9"/>
    <m/>
    <x v="126"/>
  </r>
  <r>
    <x v="12"/>
    <n v="3"/>
    <n v="400"/>
    <n v="1200"/>
    <x v="9"/>
    <m/>
    <x v="126"/>
  </r>
  <r>
    <x v="51"/>
    <n v="3"/>
    <n v="400"/>
    <n v="1200"/>
    <x v="9"/>
    <m/>
    <x v="126"/>
  </r>
  <r>
    <x v="40"/>
    <n v="3"/>
    <n v="300"/>
    <n v="900"/>
    <x v="9"/>
    <m/>
    <x v="126"/>
  </r>
  <r>
    <x v="22"/>
    <n v="3"/>
    <n v="300"/>
    <n v="900"/>
    <x v="9"/>
    <m/>
    <x v="126"/>
  </r>
  <r>
    <x v="56"/>
    <n v="3"/>
    <n v="350"/>
    <n v="1050"/>
    <x v="9"/>
    <m/>
    <x v="126"/>
  </r>
  <r>
    <x v="18"/>
    <n v="3"/>
    <n v="300"/>
    <n v="900"/>
    <x v="0"/>
    <m/>
    <x v="126"/>
  </r>
  <r>
    <x v="11"/>
    <n v="5"/>
    <n v="90"/>
    <n v="450"/>
    <x v="0"/>
    <m/>
    <x v="126"/>
  </r>
  <r>
    <x v="12"/>
    <n v="0.66669999999999996"/>
    <n v="300"/>
    <n v="200.01"/>
    <x v="0"/>
    <m/>
    <x v="127"/>
  </r>
  <r>
    <x v="60"/>
    <n v="1"/>
    <n v="150"/>
    <n v="150"/>
    <x v="0"/>
    <m/>
    <x v="127"/>
  </r>
  <r>
    <x v="89"/>
    <n v="0.5"/>
    <n v="180"/>
    <n v="90"/>
    <x v="0"/>
    <m/>
    <x v="127"/>
  </r>
  <r>
    <x v="100"/>
    <n v="4"/>
    <n v="60"/>
    <n v="240"/>
    <x v="0"/>
    <m/>
    <x v="127"/>
  </r>
  <r>
    <x v="96"/>
    <n v="2"/>
    <n v="175"/>
    <n v="350"/>
    <x v="0"/>
    <m/>
    <x v="128"/>
  </r>
  <r>
    <x v="100"/>
    <n v="4"/>
    <n v="70"/>
    <n v="280"/>
    <x v="0"/>
    <m/>
    <x v="128"/>
  </r>
  <r>
    <x v="101"/>
    <n v="1"/>
    <n v="175"/>
    <n v="175"/>
    <x v="0"/>
    <m/>
    <x v="129"/>
  </r>
  <r>
    <x v="12"/>
    <n v="0.16600000000000001"/>
    <n v="300"/>
    <n v="49.800000000000004"/>
    <x v="0"/>
    <m/>
    <x v="129"/>
  </r>
  <r>
    <x v="60"/>
    <n v="0.1"/>
    <n v="400"/>
    <n v="40"/>
    <x v="0"/>
    <m/>
    <x v="129"/>
  </r>
  <r>
    <x v="4"/>
    <n v="1"/>
    <n v="15"/>
    <n v="15"/>
    <x v="0"/>
    <m/>
    <x v="129"/>
  </r>
  <r>
    <x v="100"/>
    <n v="1"/>
    <n v="60"/>
    <n v="60"/>
    <x v="0"/>
    <m/>
    <x v="130"/>
  </r>
  <r>
    <x v="7"/>
    <n v="1"/>
    <n v="15"/>
    <n v="15"/>
    <x v="0"/>
    <m/>
    <x v="130"/>
  </r>
  <r>
    <x v="34"/>
    <n v="1"/>
    <n v="80"/>
    <n v="80"/>
    <x v="0"/>
    <m/>
    <x v="130"/>
  </r>
  <r>
    <x v="97"/>
    <n v="2"/>
    <n v="25"/>
    <n v="50"/>
    <x v="0"/>
    <m/>
    <x v="130"/>
  </r>
  <r>
    <x v="100"/>
    <n v="1"/>
    <n v="70"/>
    <n v="70"/>
    <x v="0"/>
    <m/>
    <x v="130"/>
  </r>
  <r>
    <x v="60"/>
    <n v="0.1"/>
    <n v="450"/>
    <n v="45"/>
    <x v="0"/>
    <m/>
    <x v="131"/>
  </r>
  <r>
    <x v="12"/>
    <n v="0.16600000000000001"/>
    <n v="300"/>
    <n v="49.800000000000004"/>
    <x v="0"/>
    <m/>
    <x v="131"/>
  </r>
  <r>
    <x v="33"/>
    <n v="1"/>
    <n v="200"/>
    <n v="200"/>
    <x v="0"/>
    <m/>
    <x v="131"/>
  </r>
  <r>
    <x v="51"/>
    <n v="0.5"/>
    <n v="300"/>
    <n v="150"/>
    <x v="0"/>
    <m/>
    <x v="131"/>
  </r>
  <r>
    <x v="60"/>
    <n v="0.3"/>
    <n v="100"/>
    <n v="30"/>
    <x v="0"/>
    <m/>
    <x v="131"/>
  </r>
  <r>
    <x v="33"/>
    <n v="1"/>
    <n v="150"/>
    <n v="150"/>
    <x v="0"/>
    <m/>
    <x v="131"/>
  </r>
  <r>
    <x v="101"/>
    <n v="1"/>
    <n v="150"/>
    <n v="150"/>
    <x v="0"/>
    <m/>
    <x v="131"/>
  </r>
  <r>
    <x v="100"/>
    <n v="3"/>
    <n v="66.599999999999994"/>
    <n v="199.79999999999998"/>
    <x v="0"/>
    <m/>
    <x v="131"/>
  </r>
  <r>
    <x v="1"/>
    <n v="1"/>
    <n v="150"/>
    <n v="150"/>
    <x v="0"/>
    <m/>
    <x v="131"/>
  </r>
  <r>
    <x v="89"/>
    <n v="3.5"/>
    <n v="157"/>
    <n v="549.5"/>
    <x v="0"/>
    <m/>
    <x v="132"/>
  </r>
  <r>
    <x v="82"/>
    <n v="2"/>
    <n v="250"/>
    <n v="500"/>
    <x v="0"/>
    <m/>
    <x v="132"/>
  </r>
  <r>
    <x v="101"/>
    <n v="1"/>
    <n v="175"/>
    <n v="175"/>
    <x v="0"/>
    <m/>
    <x v="132"/>
  </r>
  <r>
    <x v="33"/>
    <n v="1"/>
    <n v="175"/>
    <n v="175"/>
    <x v="0"/>
    <m/>
    <x v="132"/>
  </r>
  <r>
    <x v="96"/>
    <n v="1"/>
    <n v="150"/>
    <n v="150"/>
    <x v="0"/>
    <m/>
    <x v="133"/>
  </r>
  <r>
    <x v="89"/>
    <n v="0.5"/>
    <n v="200"/>
    <n v="100"/>
    <x v="0"/>
    <m/>
    <x v="133"/>
  </r>
  <r>
    <x v="28"/>
    <n v="1"/>
    <n v="150"/>
    <n v="150"/>
    <x v="0"/>
    <m/>
    <x v="133"/>
  </r>
  <r>
    <x v="60"/>
    <n v="0.5"/>
    <n v="200"/>
    <n v="100"/>
    <x v="0"/>
    <m/>
    <x v="133"/>
  </r>
  <r>
    <x v="83"/>
    <n v="1"/>
    <n v="200"/>
    <n v="200"/>
    <x v="0"/>
    <m/>
    <x v="134"/>
  </r>
  <r>
    <x v="99"/>
    <n v="1"/>
    <n v="180"/>
    <n v="180"/>
    <x v="0"/>
    <m/>
    <x v="134"/>
  </r>
  <r>
    <x v="89"/>
    <n v="1"/>
    <n v="170"/>
    <n v="170"/>
    <x v="0"/>
    <m/>
    <x v="134"/>
  </r>
  <r>
    <x v="82"/>
    <n v="1"/>
    <n v="300"/>
    <n v="300"/>
    <x v="0"/>
    <m/>
    <x v="134"/>
  </r>
  <r>
    <x v="100"/>
    <n v="1"/>
    <n v="60"/>
    <n v="60"/>
    <x v="0"/>
    <m/>
    <x v="134"/>
  </r>
  <r>
    <x v="100"/>
    <n v="4"/>
    <n v="60"/>
    <n v="240"/>
    <x v="0"/>
    <m/>
    <x v="135"/>
  </r>
  <r>
    <x v="36"/>
    <n v="1"/>
    <n v="400"/>
    <n v="400"/>
    <x v="0"/>
    <m/>
    <x v="135"/>
  </r>
  <r>
    <x v="89"/>
    <n v="0.25"/>
    <n v="200"/>
    <n v="50"/>
    <x v="0"/>
    <m/>
    <x v="135"/>
  </r>
  <r>
    <x v="4"/>
    <n v="2"/>
    <n v="15"/>
    <n v="30"/>
    <x v="0"/>
    <m/>
    <x v="135"/>
  </r>
  <r>
    <x v="50"/>
    <n v="1"/>
    <n v="300"/>
    <n v="300"/>
    <x v="0"/>
    <m/>
    <x v="135"/>
  </r>
  <r>
    <x v="89"/>
    <n v="1"/>
    <n v="180"/>
    <n v="180"/>
    <x v="0"/>
    <m/>
    <x v="135"/>
  </r>
  <r>
    <x v="100"/>
    <n v="6"/>
    <n v="60"/>
    <n v="360"/>
    <x v="0"/>
    <m/>
    <x v="136"/>
  </r>
  <r>
    <x v="7"/>
    <n v="2"/>
    <n v="15"/>
    <n v="30"/>
    <x v="0"/>
    <m/>
    <x v="137"/>
  </r>
  <r>
    <x v="4"/>
    <n v="1"/>
    <n v="15"/>
    <n v="15"/>
    <x v="0"/>
    <m/>
    <x v="137"/>
  </r>
  <r>
    <x v="98"/>
    <n v="20"/>
    <n v="430"/>
    <n v="8600"/>
    <x v="10"/>
    <m/>
    <x v="138"/>
  </r>
  <r>
    <x v="15"/>
    <n v="10"/>
    <n v="800"/>
    <n v="8000"/>
    <x v="10"/>
    <m/>
    <x v="138"/>
  </r>
  <r>
    <x v="25"/>
    <n v="10"/>
    <n v="600"/>
    <n v="6000"/>
    <x v="10"/>
    <m/>
    <x v="138"/>
  </r>
  <r>
    <x v="24"/>
    <n v="10"/>
    <n v="800"/>
    <n v="8000"/>
    <x v="10"/>
    <m/>
    <x v="138"/>
  </r>
  <r>
    <x v="93"/>
    <n v="10"/>
    <n v="850"/>
    <n v="8500"/>
    <x v="10"/>
    <m/>
    <x v="138"/>
  </r>
  <r>
    <x v="36"/>
    <n v="5"/>
    <n v="600"/>
    <n v="3000"/>
    <x v="10"/>
    <m/>
    <x v="138"/>
  </r>
  <r>
    <x v="51"/>
    <n v="5"/>
    <n v="245"/>
    <n v="1225"/>
    <x v="10"/>
    <m/>
    <x v="138"/>
  </r>
  <r>
    <x v="12"/>
    <n v="5"/>
    <n v="240"/>
    <n v="1200"/>
    <x v="10"/>
    <m/>
    <x v="138"/>
  </r>
  <r>
    <x v="67"/>
    <n v="5"/>
    <n v="520"/>
    <n v="2600"/>
    <x v="10"/>
    <m/>
    <x v="138"/>
  </r>
  <r>
    <x v="56"/>
    <n v="10"/>
    <n v="320"/>
    <n v="3200"/>
    <x v="10"/>
    <m/>
    <x v="138"/>
  </r>
  <r>
    <x v="37"/>
    <n v="5"/>
    <n v="240"/>
    <n v="1200"/>
    <x v="10"/>
    <m/>
    <x v="138"/>
  </r>
  <r>
    <x v="21"/>
    <n v="12"/>
    <n v="225"/>
    <n v="2700"/>
    <x v="10"/>
    <m/>
    <x v="138"/>
  </r>
  <r>
    <x v="40"/>
    <n v="12"/>
    <n v="190"/>
    <n v="2280"/>
    <x v="10"/>
    <m/>
    <x v="138"/>
  </r>
  <r>
    <x v="58"/>
    <n v="12"/>
    <n v="220"/>
    <n v="2640"/>
    <x v="10"/>
    <m/>
    <x v="138"/>
  </r>
  <r>
    <x v="11"/>
    <n v="10"/>
    <n v="550"/>
    <n v="5500"/>
    <x v="10"/>
    <m/>
    <x v="138"/>
  </r>
  <r>
    <x v="89"/>
    <n v="5"/>
    <n v="2700"/>
    <n v="13500"/>
    <x v="10"/>
    <m/>
    <x v="138"/>
  </r>
  <r>
    <x v="18"/>
    <n v="12"/>
    <n v="250"/>
    <n v="3000"/>
    <x v="10"/>
    <m/>
    <x v="138"/>
  </r>
  <r>
    <x v="60"/>
    <n v="10"/>
    <n v="200"/>
    <n v="2000"/>
    <x v="10"/>
    <m/>
    <x v="138"/>
  </r>
  <r>
    <x v="96"/>
    <n v="10"/>
    <n v="230"/>
    <n v="2300"/>
    <x v="10"/>
    <m/>
    <x v="138"/>
  </r>
  <r>
    <x v="99"/>
    <n v="10"/>
    <n v="240"/>
    <n v="2400"/>
    <x v="10"/>
    <m/>
    <x v="138"/>
  </r>
  <r>
    <x v="90"/>
    <n v="10"/>
    <n v="225"/>
    <n v="2250"/>
    <x v="10"/>
    <m/>
    <x v="138"/>
  </r>
  <r>
    <x v="94"/>
    <n v="5"/>
    <n v="235"/>
    <n v="1175"/>
    <x v="10"/>
    <m/>
    <x v="138"/>
  </r>
  <r>
    <x v="102"/>
    <n v="5"/>
    <n v="245"/>
    <n v="1225"/>
    <x v="10"/>
    <m/>
    <x v="138"/>
  </r>
  <r>
    <x v="103"/>
    <n v="4"/>
    <n v="1100"/>
    <n v="4400"/>
    <x v="10"/>
    <m/>
    <x v="138"/>
  </r>
  <r>
    <x v="59"/>
    <n v="12"/>
    <n v="170"/>
    <n v="2040"/>
    <x v="10"/>
    <m/>
    <x v="138"/>
  </r>
  <r>
    <x v="19"/>
    <n v="12"/>
    <n v="160"/>
    <n v="1920"/>
    <x v="10"/>
    <m/>
    <x v="138"/>
  </r>
  <r>
    <x v="20"/>
    <n v="12"/>
    <n v="190"/>
    <n v="2280"/>
    <x v="10"/>
    <m/>
    <x v="138"/>
  </r>
  <r>
    <x v="82"/>
    <n v="5"/>
    <n v="210"/>
    <n v="1050"/>
    <x v="10"/>
    <m/>
    <x v="138"/>
  </r>
  <r>
    <x v="100"/>
    <n v="9"/>
    <n v="60"/>
    <n v="540"/>
    <x v="0"/>
    <m/>
    <x v="139"/>
  </r>
  <r>
    <x v="89"/>
    <n v="0.25"/>
    <n v="200"/>
    <n v="50"/>
    <x v="0"/>
    <m/>
    <x v="140"/>
  </r>
  <r>
    <x v="100"/>
    <n v="1"/>
    <n v="65"/>
    <n v="65"/>
    <x v="0"/>
    <m/>
    <x v="141"/>
  </r>
  <r>
    <x v="5"/>
    <n v="1"/>
    <n v="250"/>
    <n v="250"/>
    <x v="0"/>
    <m/>
    <x v="141"/>
  </r>
  <r>
    <x v="60"/>
    <n v="10"/>
    <n v="120"/>
    <n v="1200"/>
    <x v="0"/>
    <m/>
    <x v="141"/>
  </r>
  <r>
    <x v="96"/>
    <n v="10"/>
    <n v="175"/>
    <n v="1750"/>
    <x v="0"/>
    <m/>
    <x v="141"/>
  </r>
  <r>
    <x v="99"/>
    <n v="10"/>
    <n v="175"/>
    <n v="1750"/>
    <x v="0"/>
    <m/>
    <x v="141"/>
  </r>
  <r>
    <x v="34"/>
    <n v="1"/>
    <n v="100"/>
    <n v="100"/>
    <x v="0"/>
    <s v="آجل"/>
    <x v="142"/>
  </r>
  <r>
    <x v="1"/>
    <n v="2"/>
    <n v="170"/>
    <n v="340"/>
    <x v="0"/>
    <s v="آجل"/>
    <x v="142"/>
  </r>
  <r>
    <x v="3"/>
    <n v="1"/>
    <n v="170"/>
    <n v="170"/>
    <x v="0"/>
    <s v="آجل"/>
    <x v="142"/>
  </r>
  <r>
    <x v="104"/>
    <n v="2"/>
    <n v="750"/>
    <n v="1500"/>
    <x v="0"/>
    <s v="آجل"/>
    <x v="142"/>
  </r>
  <r>
    <x v="100"/>
    <n v="2"/>
    <n v="60"/>
    <n v="120"/>
    <x v="0"/>
    <m/>
    <x v="143"/>
  </r>
  <r>
    <x v="33"/>
    <n v="1"/>
    <n v="170"/>
    <n v="170"/>
    <x v="0"/>
    <m/>
    <x v="143"/>
  </r>
  <r>
    <x v="51"/>
    <n v="0.3"/>
    <n v="300"/>
    <n v="90"/>
    <x v="0"/>
    <m/>
    <x v="144"/>
  </r>
  <r>
    <x v="11"/>
    <n v="5"/>
    <n v="700"/>
    <n v="3500"/>
    <x v="9"/>
    <m/>
    <x v="144"/>
  </r>
  <r>
    <x v="89"/>
    <n v="2"/>
    <n v="3500"/>
    <n v="7000"/>
    <x v="9"/>
    <m/>
    <x v="144"/>
  </r>
  <r>
    <x v="96"/>
    <n v="10"/>
    <n v="350"/>
    <n v="3500"/>
    <x v="9"/>
    <m/>
    <x v="144"/>
  </r>
  <r>
    <x v="99"/>
    <n v="10"/>
    <n v="350"/>
    <n v="3500"/>
    <x v="9"/>
    <m/>
    <x v="144"/>
  </r>
  <r>
    <x v="60"/>
    <n v="10"/>
    <n v="350"/>
    <n v="3500"/>
    <x v="9"/>
    <m/>
    <x v="144"/>
  </r>
  <r>
    <x v="40"/>
    <n v="24"/>
    <n v="300"/>
    <n v="7200"/>
    <x v="9"/>
    <m/>
    <x v="144"/>
  </r>
  <r>
    <x v="25"/>
    <n v="7"/>
    <n v="1000"/>
    <n v="7000"/>
    <x v="9"/>
    <m/>
    <x v="144"/>
  </r>
  <r>
    <x v="15"/>
    <n v="7"/>
    <n v="1500"/>
    <n v="10500"/>
    <x v="9"/>
    <m/>
    <x v="144"/>
  </r>
  <r>
    <x v="93"/>
    <n v="7"/>
    <n v="1600"/>
    <n v="11200"/>
    <x v="9"/>
    <m/>
    <x v="144"/>
  </r>
  <r>
    <x v="24"/>
    <n v="7"/>
    <n v="1700"/>
    <n v="11900"/>
    <x v="9"/>
    <m/>
    <x v="144"/>
  </r>
  <r>
    <x v="51"/>
    <n v="0.4"/>
    <n v="300"/>
    <n v="120"/>
    <x v="0"/>
    <m/>
    <x v="145"/>
  </r>
  <r>
    <x v="7"/>
    <n v="2"/>
    <n v="15"/>
    <n v="30"/>
    <x v="0"/>
    <m/>
    <x v="145"/>
  </r>
  <r>
    <x v="4"/>
    <n v="4"/>
    <n v="15"/>
    <n v="60"/>
    <x v="0"/>
    <m/>
    <x v="146"/>
  </r>
  <r>
    <x v="2"/>
    <n v="1"/>
    <n v="80"/>
    <n v="80"/>
    <x v="0"/>
    <m/>
    <x v="146"/>
  </r>
  <r>
    <x v="50"/>
    <n v="1"/>
    <n v="300"/>
    <n v="300"/>
    <x v="0"/>
    <m/>
    <x v="147"/>
  </r>
  <r>
    <x v="51"/>
    <n v="0.3"/>
    <n v="300"/>
    <n v="90"/>
    <x v="0"/>
    <m/>
    <x v="147"/>
  </r>
  <r>
    <x v="96"/>
    <n v="0.1"/>
    <n v="250"/>
    <n v="25"/>
    <x v="0"/>
    <m/>
    <x v="147"/>
  </r>
  <r>
    <x v="7"/>
    <n v="2"/>
    <n v="30"/>
    <n v="60"/>
    <x v="0"/>
    <m/>
    <x v="148"/>
  </r>
  <r>
    <x v="4"/>
    <n v="1"/>
    <n v="15"/>
    <n v="15"/>
    <x v="0"/>
    <m/>
    <x v="148"/>
  </r>
  <r>
    <x v="93"/>
    <n v="10"/>
    <n v="1450"/>
    <n v="14500"/>
    <x v="5"/>
    <m/>
    <x v="149"/>
  </r>
  <r>
    <x v="25"/>
    <n v="10"/>
    <n v="1250"/>
    <n v="12500"/>
    <x v="5"/>
    <m/>
    <x v="149"/>
  </r>
  <r>
    <x v="15"/>
    <n v="10"/>
    <n v="500"/>
    <n v="5000"/>
    <x v="5"/>
    <m/>
    <x v="149"/>
  </r>
  <r>
    <x v="11"/>
    <n v="10"/>
    <n v="800"/>
    <n v="8000"/>
    <x v="5"/>
    <m/>
    <x v="149"/>
  </r>
  <r>
    <x v="96"/>
    <n v="0.3"/>
    <n v="232"/>
    <n v="69.599999999999994"/>
    <x v="0"/>
    <m/>
    <x v="149"/>
  </r>
  <r>
    <x v="89"/>
    <n v="0.25"/>
    <n v="200"/>
    <n v="50"/>
    <x v="0"/>
    <m/>
    <x v="149"/>
  </r>
  <r>
    <x v="51"/>
    <n v="0.2"/>
    <n v="350"/>
    <n v="70"/>
    <x v="0"/>
    <m/>
    <x v="150"/>
  </r>
  <r>
    <x v="4"/>
    <n v="4"/>
    <n v="15"/>
    <n v="60"/>
    <x v="0"/>
    <m/>
    <x v="151"/>
  </r>
  <r>
    <x v="7"/>
    <n v="2"/>
    <n v="15"/>
    <n v="30"/>
    <x v="0"/>
    <m/>
    <x v="152"/>
  </r>
  <r>
    <x v="4"/>
    <n v="8"/>
    <n v="15"/>
    <n v="120"/>
    <x v="0"/>
    <m/>
    <x v="152"/>
  </r>
  <r>
    <x v="51"/>
    <n v="0.26"/>
    <n v="1080"/>
    <n v="280.8"/>
    <x v="0"/>
    <m/>
    <x v="153"/>
  </r>
  <r>
    <x v="3"/>
    <n v="1"/>
    <n v="170"/>
    <n v="170"/>
    <x v="0"/>
    <s v="آجل"/>
    <x v="154"/>
  </r>
  <r>
    <x v="4"/>
    <n v="1"/>
    <n v="15"/>
    <n v="15"/>
    <x v="0"/>
    <m/>
    <x v="154"/>
  </r>
  <r>
    <x v="34"/>
    <n v="1"/>
    <n v="70"/>
    <n v="70"/>
    <x v="0"/>
    <m/>
    <x v="155"/>
  </r>
  <r>
    <x v="5"/>
    <n v="1"/>
    <n v="250"/>
    <n v="250"/>
    <x v="0"/>
    <m/>
    <x v="155"/>
  </r>
  <r>
    <x v="5"/>
    <n v="1"/>
    <n v="220"/>
    <n v="220"/>
    <x v="0"/>
    <m/>
    <x v="156"/>
  </r>
  <r>
    <x v="4"/>
    <n v="1"/>
    <n v="15"/>
    <n v="15"/>
    <x v="0"/>
    <m/>
    <x v="156"/>
  </r>
  <r>
    <x v="101"/>
    <n v="1"/>
    <n v="150"/>
    <n v="150"/>
    <x v="0"/>
    <m/>
    <x v="156"/>
  </r>
  <r>
    <x v="89"/>
    <n v="1"/>
    <n v="180"/>
    <n v="180"/>
    <x v="0"/>
    <m/>
    <x v="157"/>
  </r>
  <r>
    <x v="4"/>
    <n v="1"/>
    <n v="15"/>
    <n v="15"/>
    <x v="0"/>
    <m/>
    <x v="157"/>
  </r>
  <r>
    <x v="33"/>
    <n v="3"/>
    <n v="150"/>
    <n v="450"/>
    <x v="0"/>
    <m/>
    <x v="157"/>
  </r>
  <r>
    <x v="95"/>
    <n v="1"/>
    <n v="80"/>
    <n v="80"/>
    <x v="0"/>
    <m/>
    <x v="157"/>
  </r>
  <r>
    <x v="27"/>
    <n v="1"/>
    <n v="100"/>
    <n v="100"/>
    <x v="0"/>
    <m/>
    <x v="157"/>
  </r>
  <r>
    <x v="30"/>
    <n v="1"/>
    <n v="300"/>
    <n v="300"/>
    <x v="0"/>
    <s v="آجل"/>
    <x v="157"/>
  </r>
  <r>
    <x v="5"/>
    <n v="1"/>
    <n v="230"/>
    <n v="230"/>
    <x v="0"/>
    <m/>
    <x v="158"/>
  </r>
  <r>
    <x v="89"/>
    <n v="1"/>
    <n v="180"/>
    <n v="180"/>
    <x v="0"/>
    <m/>
    <x v="159"/>
  </r>
  <r>
    <x v="4"/>
    <n v="2"/>
    <n v="30"/>
    <n v="60"/>
    <x v="0"/>
    <m/>
    <x v="159"/>
  </r>
  <r>
    <x v="4"/>
    <n v="1"/>
    <n v="15"/>
    <n v="15"/>
    <x v="0"/>
    <m/>
    <x v="160"/>
  </r>
  <r>
    <x v="60"/>
    <n v="0.5"/>
    <n v="200"/>
    <n v="100"/>
    <x v="0"/>
    <m/>
    <x v="161"/>
  </r>
  <r>
    <x v="96"/>
    <n v="0.3"/>
    <n v="232"/>
    <n v="69.599999999999994"/>
    <x v="0"/>
    <m/>
    <x v="161"/>
  </r>
  <r>
    <x v="5"/>
    <n v="1"/>
    <n v="200"/>
    <n v="200"/>
    <x v="0"/>
    <m/>
    <x v="161"/>
  </r>
  <r>
    <x v="3"/>
    <n v="1"/>
    <n v="160"/>
    <n v="160"/>
    <x v="0"/>
    <m/>
    <x v="161"/>
  </r>
  <r>
    <x v="87"/>
    <n v="1"/>
    <n v="100"/>
    <n v="100"/>
    <x v="0"/>
    <m/>
    <x v="161"/>
  </r>
  <r>
    <x v="89"/>
    <n v="2"/>
    <n v="175"/>
    <n v="350"/>
    <x v="0"/>
    <m/>
    <x v="161"/>
  </r>
  <r>
    <x v="27"/>
    <n v="1"/>
    <n v="110"/>
    <n v="110"/>
    <x v="0"/>
    <m/>
    <x v="161"/>
  </r>
  <r>
    <x v="89"/>
    <n v="1"/>
    <n v="200"/>
    <n v="200"/>
    <x v="0"/>
    <m/>
    <x v="162"/>
  </r>
  <r>
    <x v="3"/>
    <n v="1"/>
    <n v="150"/>
    <n v="150"/>
    <x v="0"/>
    <m/>
    <x v="162"/>
  </r>
  <r>
    <x v="89"/>
    <n v="0.25"/>
    <n v="200"/>
    <n v="50"/>
    <x v="0"/>
    <m/>
    <x v="163"/>
  </r>
  <r>
    <x v="96"/>
    <n v="0.5"/>
    <n v="220"/>
    <n v="110"/>
    <x v="0"/>
    <m/>
    <x v="163"/>
  </r>
  <r>
    <x v="60"/>
    <n v="1"/>
    <n v="200"/>
    <n v="200"/>
    <x v="0"/>
    <m/>
    <x v="163"/>
  </r>
  <r>
    <x v="11"/>
    <n v="1"/>
    <n v="120"/>
    <n v="120"/>
    <x v="0"/>
    <m/>
    <x v="163"/>
  </r>
  <r>
    <x v="50"/>
    <n v="1"/>
    <n v="270"/>
    <n v="270"/>
    <x v="0"/>
    <m/>
    <x v="164"/>
  </r>
  <r>
    <x v="89"/>
    <n v="2"/>
    <n v="200"/>
    <n v="400"/>
    <x v="0"/>
    <m/>
    <x v="165"/>
  </r>
  <r>
    <x v="7"/>
    <n v="3"/>
    <n v="17"/>
    <n v="51"/>
    <x v="0"/>
    <m/>
    <x v="165"/>
  </r>
  <r>
    <x v="5"/>
    <n v="1"/>
    <n v="210"/>
    <n v="210"/>
    <x v="0"/>
    <m/>
    <x v="165"/>
  </r>
  <r>
    <x v="7"/>
    <n v="1"/>
    <n v="16"/>
    <n v="16"/>
    <x v="0"/>
    <m/>
    <x v="166"/>
  </r>
  <r>
    <x v="3"/>
    <n v="1"/>
    <n v="150"/>
    <n v="150"/>
    <x v="0"/>
    <m/>
    <x v="166"/>
  </r>
  <r>
    <x v="11"/>
    <n v="1"/>
    <n v="100"/>
    <n v="100"/>
    <x v="0"/>
    <m/>
    <x v="166"/>
  </r>
  <r>
    <x v="87"/>
    <n v="1"/>
    <n v="110"/>
    <n v="110"/>
    <x v="0"/>
    <m/>
    <x v="167"/>
  </r>
  <r>
    <x v="21"/>
    <n v="4"/>
    <n v="400"/>
    <n v="1600"/>
    <x v="5"/>
    <m/>
    <x v="168"/>
  </r>
  <r>
    <x v="60"/>
    <n v="0.5"/>
    <n v="220"/>
    <n v="110"/>
    <x v="0"/>
    <m/>
    <x v="169"/>
  </r>
  <r>
    <x v="3"/>
    <n v="2"/>
    <n v="155"/>
    <n v="310"/>
    <x v="0"/>
    <m/>
    <x v="169"/>
  </r>
  <r>
    <x v="4"/>
    <n v="3"/>
    <n v="15"/>
    <n v="45"/>
    <x v="0"/>
    <m/>
    <x v="169"/>
  </r>
  <r>
    <x v="96"/>
    <n v="0.3"/>
    <n v="220"/>
    <n v="66"/>
    <x v="0"/>
    <m/>
    <x v="170"/>
  </r>
  <r>
    <x v="89"/>
    <n v="0.25"/>
    <n v="200"/>
    <n v="50"/>
    <x v="0"/>
    <m/>
    <x v="170"/>
  </r>
  <r>
    <x v="60"/>
    <n v="0.5"/>
    <n v="200"/>
    <n v="100"/>
    <x v="0"/>
    <m/>
    <x v="171"/>
  </r>
  <r>
    <x v="3"/>
    <n v="1"/>
    <n v="170"/>
    <n v="170"/>
    <x v="0"/>
    <m/>
    <x v="171"/>
  </r>
  <r>
    <x v="89"/>
    <n v="1"/>
    <n v="200"/>
    <n v="200"/>
    <x v="0"/>
    <m/>
    <x v="172"/>
  </r>
  <r>
    <x v="60"/>
    <n v="0.15"/>
    <n v="265"/>
    <n v="39.75"/>
    <x v="0"/>
    <m/>
    <x v="172"/>
  </r>
  <r>
    <x v="33"/>
    <n v="1"/>
    <n v="150"/>
    <n v="150"/>
    <x v="0"/>
    <m/>
    <x v="172"/>
  </r>
  <r>
    <x v="5"/>
    <n v="2"/>
    <n v="240"/>
    <n v="480"/>
    <x v="0"/>
    <m/>
    <x v="172"/>
  </r>
  <r>
    <x v="5"/>
    <n v="1"/>
    <n v="240"/>
    <n v="240"/>
    <x v="0"/>
    <m/>
    <x v="173"/>
  </r>
  <r>
    <x v="5"/>
    <n v="1"/>
    <n v="300"/>
    <n v="300"/>
    <x v="0"/>
    <m/>
    <x v="174"/>
  </r>
  <r>
    <x v="97"/>
    <n v="1"/>
    <n v="50"/>
    <n v="50"/>
    <x v="0"/>
    <m/>
    <x v="175"/>
  </r>
  <r>
    <x v="7"/>
    <n v="10"/>
    <n v="14"/>
    <n v="140"/>
    <x v="0"/>
    <m/>
    <x v="175"/>
  </r>
  <r>
    <x v="89"/>
    <n v="1.5"/>
    <n v="200"/>
    <n v="300"/>
    <x v="0"/>
    <m/>
    <x v="175"/>
  </r>
  <r>
    <x v="5"/>
    <n v="1"/>
    <n v="190"/>
    <n v="190"/>
    <x v="0"/>
    <m/>
    <x v="175"/>
  </r>
  <r>
    <x v="4"/>
    <n v="2"/>
    <n v="40"/>
    <n v="80"/>
    <x v="0"/>
    <m/>
    <x v="175"/>
  </r>
  <r>
    <x v="7"/>
    <n v="6"/>
    <n v="15"/>
    <n v="90"/>
    <x v="0"/>
    <m/>
    <x v="176"/>
  </r>
  <r>
    <x v="17"/>
    <n v="1"/>
    <n v="250"/>
    <n v="250"/>
    <x v="0"/>
    <m/>
    <x v="176"/>
  </r>
  <r>
    <x v="27"/>
    <n v="1"/>
    <n v="100"/>
    <n v="100"/>
    <x v="0"/>
    <m/>
    <x v="176"/>
  </r>
  <r>
    <x v="5"/>
    <n v="1"/>
    <n v="240"/>
    <n v="240"/>
    <x v="0"/>
    <m/>
    <x v="177"/>
  </r>
  <r>
    <x v="7"/>
    <n v="11"/>
    <n v="19"/>
    <n v="209"/>
    <x v="0"/>
    <m/>
    <x v="177"/>
  </r>
  <r>
    <x v="101"/>
    <n v="1"/>
    <n v="150"/>
    <n v="150"/>
    <x v="0"/>
    <m/>
    <x v="177"/>
  </r>
  <r>
    <x v="96"/>
    <n v="0.6"/>
    <n v="230"/>
    <n v="138"/>
    <x v="0"/>
    <m/>
    <x v="178"/>
  </r>
  <r>
    <x v="33"/>
    <n v="1"/>
    <n v="170"/>
    <n v="170"/>
    <x v="0"/>
    <m/>
    <x v="178"/>
  </r>
  <r>
    <x v="7"/>
    <n v="4"/>
    <n v="18"/>
    <n v="72"/>
    <x v="0"/>
    <m/>
    <x v="178"/>
  </r>
  <r>
    <x v="17"/>
    <n v="1"/>
    <n v="250"/>
    <n v="250"/>
    <x v="0"/>
    <m/>
    <x v="178"/>
  </r>
  <r>
    <x v="44"/>
    <n v="1"/>
    <n v="200"/>
    <n v="200"/>
    <x v="0"/>
    <m/>
    <x v="178"/>
  </r>
  <r>
    <x v="60"/>
    <n v="0.5"/>
    <n v="200"/>
    <n v="100"/>
    <x v="0"/>
    <m/>
    <x v="179"/>
  </r>
  <r>
    <x v="89"/>
    <n v="0.25"/>
    <n v="200"/>
    <n v="50"/>
    <x v="0"/>
    <m/>
    <x v="179"/>
  </r>
  <r>
    <x v="7"/>
    <n v="5"/>
    <n v="20"/>
    <n v="100"/>
    <x v="0"/>
    <m/>
    <x v="179"/>
  </r>
  <r>
    <x v="7"/>
    <n v="9"/>
    <n v="20"/>
    <n v="180"/>
    <x v="0"/>
    <m/>
    <x v="179"/>
  </r>
  <r>
    <x v="7"/>
    <n v="8"/>
    <n v="20"/>
    <n v="160"/>
    <x v="0"/>
    <m/>
    <x v="179"/>
  </r>
  <r>
    <x v="7"/>
    <n v="5"/>
    <n v="20"/>
    <n v="100"/>
    <x v="0"/>
    <m/>
    <x v="179"/>
  </r>
  <r>
    <x v="4"/>
    <n v="1"/>
    <n v="20"/>
    <n v="20"/>
    <x v="0"/>
    <m/>
    <x v="180"/>
  </r>
  <r>
    <x v="37"/>
    <n v="1"/>
    <n v="300"/>
    <n v="300"/>
    <x v="0"/>
    <m/>
    <x v="180"/>
  </r>
  <r>
    <x v="7"/>
    <n v="2"/>
    <n v="20"/>
    <n v="40"/>
    <x v="0"/>
    <m/>
    <x v="181"/>
  </r>
  <r>
    <x v="96"/>
    <n v="0.5"/>
    <n v="240"/>
    <n v="120"/>
    <x v="0"/>
    <m/>
    <x v="181"/>
  </r>
  <r>
    <x v="89"/>
    <n v="0.25"/>
    <n v="200"/>
    <n v="50"/>
    <x v="0"/>
    <m/>
    <x v="181"/>
  </r>
  <r>
    <x v="3"/>
    <n v="1"/>
    <n v="170"/>
    <n v="170"/>
    <x v="0"/>
    <m/>
    <x v="181"/>
  </r>
  <r>
    <x v="11"/>
    <n v="1"/>
    <n v="100"/>
    <n v="100"/>
    <x v="0"/>
    <m/>
    <x v="182"/>
  </r>
  <r>
    <x v="7"/>
    <n v="4"/>
    <n v="20"/>
    <n v="80"/>
    <x v="0"/>
    <m/>
    <x v="182"/>
  </r>
  <r>
    <x v="4"/>
    <n v="1"/>
    <n v="20"/>
    <n v="20"/>
    <x v="0"/>
    <m/>
    <x v="182"/>
  </r>
  <r>
    <x v="25"/>
    <n v="8"/>
    <n v="1250"/>
    <n v="10000"/>
    <x v="5"/>
    <m/>
    <x v="182"/>
  </r>
  <r>
    <x v="15"/>
    <n v="8"/>
    <n v="1300"/>
    <n v="10400"/>
    <x v="5"/>
    <m/>
    <x v="182"/>
  </r>
  <r>
    <x v="93"/>
    <n v="9"/>
    <n v="1450"/>
    <n v="13050"/>
    <x v="5"/>
    <m/>
    <x v="182"/>
  </r>
  <r>
    <x v="11"/>
    <n v="10"/>
    <n v="800"/>
    <n v="8000"/>
    <x v="5"/>
    <m/>
    <x v="182"/>
  </r>
  <r>
    <x v="96"/>
    <n v="20"/>
    <n v="300"/>
    <n v="6000"/>
    <x v="5"/>
    <m/>
    <x v="182"/>
  </r>
  <r>
    <x v="44"/>
    <n v="15"/>
    <n v="350"/>
    <n v="5250"/>
    <x v="5"/>
    <m/>
    <x v="182"/>
  </r>
  <r>
    <x v="89"/>
    <n v="0.5"/>
    <n v="200"/>
    <n v="100"/>
    <x v="0"/>
    <m/>
    <x v="183"/>
  </r>
  <r>
    <x v="5"/>
    <n v="1"/>
    <n v="235"/>
    <n v="235"/>
    <x v="0"/>
    <m/>
    <x v="183"/>
  </r>
  <r>
    <x v="27"/>
    <n v="1"/>
    <n v="120"/>
    <n v="120"/>
    <x v="0"/>
    <m/>
    <x v="183"/>
  </r>
  <r>
    <x v="32"/>
    <n v="1"/>
    <n v="120"/>
    <n v="120"/>
    <x v="0"/>
    <m/>
    <x v="183"/>
  </r>
  <r>
    <x v="11"/>
    <n v="1"/>
    <n v="120"/>
    <n v="120"/>
    <x v="0"/>
    <m/>
    <x v="183"/>
  </r>
  <r>
    <x v="7"/>
    <n v="15"/>
    <n v="19"/>
    <n v="285"/>
    <x v="0"/>
    <m/>
    <x v="184"/>
  </r>
  <r>
    <x v="34"/>
    <n v="1"/>
    <n v="80"/>
    <n v="80"/>
    <x v="0"/>
    <m/>
    <x v="184"/>
  </r>
  <r>
    <x v="17"/>
    <n v="1"/>
    <n v="250"/>
    <n v="250"/>
    <x v="0"/>
    <m/>
    <x v="184"/>
  </r>
  <r>
    <x v="87"/>
    <n v="2"/>
    <n v="90"/>
    <n v="180"/>
    <x v="0"/>
    <m/>
    <x v="185"/>
  </r>
  <r>
    <x v="27"/>
    <n v="1"/>
    <n v="100"/>
    <n v="100"/>
    <x v="0"/>
    <m/>
    <x v="185"/>
  </r>
  <r>
    <x v="32"/>
    <n v="1"/>
    <n v="90"/>
    <n v="90"/>
    <x v="0"/>
    <m/>
    <x v="185"/>
  </r>
  <r>
    <x v="5"/>
    <n v="1"/>
    <n v="240"/>
    <n v="240"/>
    <x v="0"/>
    <m/>
    <x v="185"/>
  </r>
  <r>
    <x v="89"/>
    <n v="10"/>
    <n v="200"/>
    <n v="2000"/>
    <x v="7"/>
    <m/>
    <x v="186"/>
  </r>
  <r>
    <x v="105"/>
    <n v="10"/>
    <n v="60"/>
    <n v="600"/>
    <x v="7"/>
    <m/>
    <x v="186"/>
  </r>
  <r>
    <x v="44"/>
    <n v="6"/>
    <n v="200"/>
    <n v="1200"/>
    <x v="7"/>
    <m/>
    <x v="186"/>
  </r>
  <r>
    <x v="106"/>
    <n v="12"/>
    <n v="120"/>
    <n v="1440"/>
    <x v="7"/>
    <m/>
    <x v="186"/>
  </r>
  <r>
    <x v="106"/>
    <n v="1"/>
    <n v="120"/>
    <n v="120"/>
    <x v="0"/>
    <m/>
    <x v="186"/>
  </r>
  <r>
    <x v="4"/>
    <n v="1"/>
    <n v="20"/>
    <n v="20"/>
    <x v="0"/>
    <m/>
    <x v="187"/>
  </r>
  <r>
    <x v="26"/>
    <n v="1"/>
    <n v="350"/>
    <n v="350"/>
    <x v="0"/>
    <m/>
    <x v="187"/>
  </r>
  <r>
    <x v="106"/>
    <n v="1"/>
    <n v="120"/>
    <n v="120"/>
    <x v="0"/>
    <m/>
    <x v="188"/>
  </r>
  <r>
    <x v="33"/>
    <n v="2"/>
    <n v="150"/>
    <n v="300"/>
    <x v="0"/>
    <m/>
    <x v="188"/>
  </r>
  <r>
    <x v="14"/>
    <n v="1"/>
    <n v="450"/>
    <n v="450"/>
    <x v="0"/>
    <m/>
    <x v="188"/>
  </r>
  <r>
    <x v="106"/>
    <n v="4"/>
    <n v="120"/>
    <n v="480"/>
    <x v="0"/>
    <m/>
    <x v="188"/>
  </r>
  <r>
    <x v="105"/>
    <n v="4"/>
    <n v="60"/>
    <n v="240"/>
    <x v="0"/>
    <m/>
    <x v="188"/>
  </r>
  <r>
    <x v="89"/>
    <n v="2"/>
    <n v="200"/>
    <n v="400"/>
    <x v="0"/>
    <m/>
    <x v="189"/>
  </r>
  <r>
    <x v="27"/>
    <n v="1"/>
    <n v="100"/>
    <n v="100"/>
    <x v="0"/>
    <m/>
    <x v="189"/>
  </r>
  <r>
    <x v="11"/>
    <n v="1"/>
    <n v="120"/>
    <n v="120"/>
    <x v="0"/>
    <m/>
    <x v="190"/>
  </r>
  <r>
    <x v="99"/>
    <n v="0.32"/>
    <n v="250"/>
    <n v="80"/>
    <x v="0"/>
    <m/>
    <x v="190"/>
  </r>
  <r>
    <x v="105"/>
    <n v="1"/>
    <n v="60"/>
    <n v="60"/>
    <x v="0"/>
    <m/>
    <x v="190"/>
  </r>
  <r>
    <x v="5"/>
    <n v="1"/>
    <n v="240"/>
    <n v="240"/>
    <x v="0"/>
    <m/>
    <x v="190"/>
  </r>
  <r>
    <x v="46"/>
    <n v="17"/>
    <n v="250"/>
    <n v="4250"/>
    <x v="9"/>
    <m/>
    <x v="191"/>
  </r>
  <r>
    <x v="106"/>
    <n v="1"/>
    <n v="120"/>
    <n v="120"/>
    <x v="0"/>
    <m/>
    <x v="192"/>
  </r>
  <r>
    <x v="3"/>
    <n v="1"/>
    <n v="160"/>
    <n v="160"/>
    <x v="0"/>
    <m/>
    <x v="192"/>
  </r>
  <r>
    <x v="99"/>
    <n v="0.5"/>
    <n v="200"/>
    <n v="100"/>
    <x v="0"/>
    <m/>
    <x v="192"/>
  </r>
  <r>
    <x v="101"/>
    <n v="1"/>
    <n v="180"/>
    <n v="180"/>
    <x v="0"/>
    <m/>
    <x v="192"/>
  </r>
  <r>
    <x v="87"/>
    <n v="1"/>
    <n v="120"/>
    <n v="120"/>
    <x v="0"/>
    <m/>
    <x v="192"/>
  </r>
  <r>
    <x v="27"/>
    <n v="1"/>
    <n v="120"/>
    <n v="120"/>
    <x v="0"/>
    <m/>
    <x v="192"/>
  </r>
  <r>
    <x v="104"/>
    <n v="1"/>
    <n v="750"/>
    <n v="750"/>
    <x v="0"/>
    <m/>
    <x v="192"/>
  </r>
  <r>
    <x v="1"/>
    <n v="1"/>
    <n v="150"/>
    <n v="150"/>
    <x v="0"/>
    <m/>
    <x v="193"/>
  </r>
  <r>
    <x v="105"/>
    <n v="1"/>
    <n v="60"/>
    <n v="60"/>
    <x v="0"/>
    <m/>
    <x v="193"/>
  </r>
  <r>
    <x v="5"/>
    <n v="1"/>
    <n v="240"/>
    <n v="240"/>
    <x v="0"/>
    <m/>
    <x v="193"/>
  </r>
  <r>
    <x v="96"/>
    <n v="0.2"/>
    <n v="250"/>
    <n v="50"/>
    <x v="0"/>
    <m/>
    <x v="194"/>
  </r>
  <r>
    <x v="106"/>
    <n v="1"/>
    <n v="120"/>
    <n v="120"/>
    <x v="0"/>
    <m/>
    <x v="194"/>
  </r>
  <r>
    <x v="32"/>
    <n v="1"/>
    <n v="80"/>
    <n v="80"/>
    <x v="0"/>
    <m/>
    <x v="194"/>
  </r>
  <r>
    <x v="33"/>
    <n v="1"/>
    <n v="150"/>
    <n v="150"/>
    <x v="0"/>
    <m/>
    <x v="194"/>
  </r>
  <r>
    <x v="5"/>
    <n v="1"/>
    <n v="220"/>
    <n v="220"/>
    <x v="0"/>
    <m/>
    <x v="194"/>
  </r>
  <r>
    <x v="87"/>
    <n v="1"/>
    <n v="100"/>
    <n v="100"/>
    <x v="0"/>
    <m/>
    <x v="194"/>
  </r>
  <r>
    <x v="5"/>
    <n v="1"/>
    <n v="240"/>
    <n v="240"/>
    <x v="0"/>
    <m/>
    <x v="194"/>
  </r>
  <r>
    <x v="101"/>
    <n v="1"/>
    <n v="170"/>
    <n v="170"/>
    <x v="0"/>
    <m/>
    <x v="194"/>
  </r>
  <r>
    <x v="32"/>
    <n v="1"/>
    <n v="90"/>
    <n v="90"/>
    <x v="0"/>
    <m/>
    <x v="195"/>
  </r>
  <r>
    <x v="60"/>
    <n v="0.1"/>
    <n v="300"/>
    <n v="30"/>
    <x v="0"/>
    <m/>
    <x v="195"/>
  </r>
  <r>
    <x v="2"/>
    <n v="1"/>
    <n v="50"/>
    <n v="50"/>
    <x v="0"/>
    <m/>
    <x v="195"/>
  </r>
  <r>
    <x v="105"/>
    <n v="1"/>
    <n v="60"/>
    <n v="60"/>
    <x v="0"/>
    <m/>
    <x v="195"/>
  </r>
  <r>
    <x v="32"/>
    <n v="1"/>
    <n v="90"/>
    <n v="90"/>
    <x v="0"/>
    <m/>
    <x v="195"/>
  </r>
  <r>
    <x v="89"/>
    <n v="0.25"/>
    <n v="200"/>
    <n v="50"/>
    <x v="0"/>
    <m/>
    <x v="195"/>
  </r>
  <r>
    <x v="34"/>
    <n v="1"/>
    <n v="100"/>
    <n v="100"/>
    <x v="0"/>
    <m/>
    <x v="195"/>
  </r>
  <r>
    <x v="106"/>
    <n v="1"/>
    <n v="120"/>
    <n v="120"/>
    <x v="0"/>
    <m/>
    <x v="195"/>
  </r>
  <r>
    <x v="105"/>
    <n v="1"/>
    <n v="60"/>
    <n v="60"/>
    <x v="0"/>
    <m/>
    <x v="195"/>
  </r>
  <r>
    <x v="101"/>
    <n v="1"/>
    <n v="150"/>
    <n v="150"/>
    <x v="0"/>
    <m/>
    <x v="195"/>
  </r>
  <r>
    <x v="32"/>
    <n v="1"/>
    <n v="90"/>
    <n v="90"/>
    <x v="0"/>
    <m/>
    <x v="195"/>
  </r>
  <r>
    <x v="4"/>
    <n v="1"/>
    <n v="20"/>
    <n v="20"/>
    <x v="0"/>
    <m/>
    <x v="195"/>
  </r>
  <r>
    <x v="105"/>
    <n v="2"/>
    <n v="60"/>
    <n v="120"/>
    <x v="0"/>
    <m/>
    <x v="196"/>
  </r>
  <r>
    <x v="89"/>
    <n v="1"/>
    <n v="200"/>
    <n v="200"/>
    <x v="0"/>
    <m/>
    <x v="197"/>
  </r>
  <r>
    <x v="4"/>
    <n v="1"/>
    <n v="20"/>
    <n v="20"/>
    <x v="0"/>
    <m/>
    <x v="197"/>
  </r>
  <r>
    <x v="106"/>
    <n v="1"/>
    <n v="120"/>
    <n v="120"/>
    <x v="0"/>
    <m/>
    <x v="197"/>
  </r>
  <r>
    <x v="96"/>
    <n v="0.5"/>
    <n v="230"/>
    <n v="115"/>
    <x v="0"/>
    <m/>
    <x v="197"/>
  </r>
  <r>
    <x v="33"/>
    <n v="1"/>
    <n v="165"/>
    <n v="165"/>
    <x v="0"/>
    <m/>
    <x v="198"/>
  </r>
  <r>
    <x v="32"/>
    <n v="2"/>
    <n v="90"/>
    <n v="180"/>
    <x v="0"/>
    <m/>
    <x v="198"/>
  </r>
  <r>
    <x v="87"/>
    <n v="1"/>
    <n v="100"/>
    <n v="100"/>
    <x v="0"/>
    <m/>
    <x v="198"/>
  </r>
  <r>
    <x v="96"/>
    <n v="0.4"/>
    <n v="250"/>
    <n v="100"/>
    <x v="0"/>
    <m/>
    <x v="199"/>
  </r>
  <r>
    <x v="87"/>
    <n v="1"/>
    <n v="100"/>
    <n v="100"/>
    <x v="0"/>
    <m/>
    <x v="199"/>
  </r>
  <r>
    <x v="60"/>
    <n v="0.2"/>
    <n v="250"/>
    <n v="50"/>
    <x v="0"/>
    <m/>
    <x v="199"/>
  </r>
  <r>
    <x v="87"/>
    <n v="1"/>
    <n v="120"/>
    <n v="120"/>
    <x v="0"/>
    <m/>
    <x v="200"/>
  </r>
  <r>
    <x v="107"/>
    <n v="2"/>
    <n v="55"/>
    <n v="110"/>
    <x v="0"/>
    <m/>
    <x v="201"/>
  </r>
  <r>
    <x v="44"/>
    <n v="1"/>
    <n v="200"/>
    <n v="200"/>
    <x v="0"/>
    <m/>
    <x v="201"/>
  </r>
  <r>
    <x v="5"/>
    <n v="1"/>
    <n v="200"/>
    <n v="200"/>
    <x v="0"/>
    <m/>
    <x v="201"/>
  </r>
  <r>
    <x v="4"/>
    <n v="1"/>
    <n v="20"/>
    <n v="20"/>
    <x v="0"/>
    <m/>
    <x v="201"/>
  </r>
  <r>
    <x v="11"/>
    <n v="1"/>
    <n v="110"/>
    <n v="110"/>
    <x v="0"/>
    <m/>
    <x v="202"/>
  </r>
  <r>
    <x v="5"/>
    <n v="2"/>
    <n v="240"/>
    <n v="480"/>
    <x v="0"/>
    <m/>
    <x v="202"/>
  </r>
  <r>
    <x v="95"/>
    <n v="1"/>
    <n v="80"/>
    <n v="80"/>
    <x v="0"/>
    <m/>
    <x v="202"/>
  </r>
  <r>
    <x v="89"/>
    <n v="0.5"/>
    <n v="200"/>
    <n v="100"/>
    <x v="0"/>
    <m/>
    <x v="202"/>
  </r>
  <r>
    <x v="89"/>
    <n v="1"/>
    <n v="180"/>
    <n v="180"/>
    <x v="0"/>
    <m/>
    <x v="202"/>
  </r>
  <r>
    <x v="106"/>
    <n v="2"/>
    <n v="110"/>
    <n v="220"/>
    <x v="0"/>
    <m/>
    <x v="202"/>
  </r>
  <r>
    <x v="50"/>
    <n v="1"/>
    <n v="260"/>
    <n v="260"/>
    <x v="0"/>
    <m/>
    <x v="202"/>
  </r>
  <r>
    <x v="33"/>
    <n v="1"/>
    <n v="170"/>
    <n v="170"/>
    <x v="0"/>
    <m/>
    <x v="202"/>
  </r>
  <r>
    <x v="1"/>
    <n v="1"/>
    <n v="150"/>
    <n v="150"/>
    <x v="0"/>
    <m/>
    <x v="202"/>
  </r>
  <r>
    <x v="99"/>
    <n v="2"/>
    <n v="210"/>
    <n v="420"/>
    <x v="0"/>
    <m/>
    <x v="202"/>
  </r>
  <r>
    <x v="99"/>
    <n v="0.25"/>
    <n v="260"/>
    <n v="65"/>
    <x v="0"/>
    <m/>
    <x v="202"/>
  </r>
  <r>
    <x v="106"/>
    <n v="1"/>
    <n v="120"/>
    <n v="120"/>
    <x v="0"/>
    <m/>
    <x v="203"/>
  </r>
  <r>
    <x v="89"/>
    <n v="1"/>
    <n v="200"/>
    <n v="200"/>
    <x v="0"/>
    <m/>
    <x v="203"/>
  </r>
  <r>
    <x v="5"/>
    <n v="1"/>
    <n v="240"/>
    <n v="240"/>
    <x v="0"/>
    <m/>
    <x v="203"/>
  </r>
  <r>
    <x v="44"/>
    <n v="1"/>
    <n v="220"/>
    <n v="220"/>
    <x v="0"/>
    <m/>
    <x v="203"/>
  </r>
  <r>
    <x v="33"/>
    <n v="1"/>
    <n v="150"/>
    <n v="150"/>
    <x v="0"/>
    <m/>
    <x v="203"/>
  </r>
  <r>
    <x v="60"/>
    <n v="0.4"/>
    <n v="210"/>
    <n v="84"/>
    <x v="0"/>
    <m/>
    <x v="20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3">
  <r>
    <x v="0"/>
    <n v="1"/>
    <n v="350"/>
    <n v="350"/>
    <s v="محل "/>
    <m/>
    <x v="0"/>
  </r>
  <r>
    <x v="1"/>
    <n v="1"/>
    <n v="280"/>
    <n v="280"/>
    <s v="محل "/>
    <m/>
    <x v="0"/>
  </r>
  <r>
    <x v="0"/>
    <n v="1"/>
    <n v="350"/>
    <n v="350"/>
    <s v="محل "/>
    <m/>
    <x v="0"/>
  </r>
  <r>
    <x v="2"/>
    <n v="1"/>
    <n v="100"/>
    <n v="100"/>
    <s v="محل "/>
    <m/>
    <x v="0"/>
  </r>
  <r>
    <x v="3"/>
    <n v="1"/>
    <n v="280"/>
    <n v="280"/>
    <s v="محل "/>
    <m/>
    <x v="0"/>
  </r>
  <r>
    <x v="4"/>
    <n v="1"/>
    <n v="20"/>
    <n v="20"/>
    <s v="محل "/>
    <m/>
    <x v="1"/>
  </r>
  <r>
    <x v="5"/>
    <n v="2"/>
    <n v="350"/>
    <n v="700"/>
    <s v="محل "/>
    <m/>
    <x v="2"/>
  </r>
  <r>
    <x v="2"/>
    <n v="2"/>
    <n v="130"/>
    <n v="260"/>
    <s v="محل "/>
    <m/>
    <x v="2"/>
  </r>
  <r>
    <x v="6"/>
    <n v="1"/>
    <n v="350"/>
    <n v="350"/>
    <s v="محل "/>
    <m/>
    <x v="2"/>
  </r>
  <r>
    <x v="7"/>
    <n v="2"/>
    <n v="20"/>
    <n v="40"/>
    <s v="محل "/>
    <m/>
    <x v="3"/>
  </r>
  <r>
    <x v="8"/>
    <n v="1"/>
    <n v="40"/>
    <n v="40"/>
    <s v="محل "/>
    <m/>
    <x v="3"/>
  </r>
  <r>
    <x v="9"/>
    <n v="1"/>
    <n v="320"/>
    <n v="320"/>
    <s v="محل "/>
    <s v="آجل"/>
    <x v="3"/>
  </r>
  <r>
    <x v="2"/>
    <n v="1"/>
    <n v="100"/>
    <n v="100"/>
    <s v="محل "/>
    <m/>
    <x v="3"/>
  </r>
  <r>
    <x v="1"/>
    <n v="1"/>
    <n v="230"/>
    <n v="230"/>
    <s v="محل "/>
    <m/>
    <x v="4"/>
  </r>
  <r>
    <x v="10"/>
    <n v="35"/>
    <n v="480"/>
    <n v="16800"/>
    <s v="الحج خميس"/>
    <s v="آجل"/>
    <x v="4"/>
  </r>
  <r>
    <x v="11"/>
    <n v="35"/>
    <n v="450"/>
    <n v="15750"/>
    <s v="الحج خميس"/>
    <s v="آجل"/>
    <x v="4"/>
  </r>
  <r>
    <x v="12"/>
    <n v="10"/>
    <n v="250"/>
    <n v="2500"/>
    <s v="الحج خميس"/>
    <s v="آجل"/>
    <x v="4"/>
  </r>
  <r>
    <x v="6"/>
    <n v="12"/>
    <n v="250"/>
    <n v="3000"/>
    <s v="الحج خميس"/>
    <s v="آجل"/>
    <x v="4"/>
  </r>
  <r>
    <x v="13"/>
    <n v="24"/>
    <n v="750"/>
    <n v="18000"/>
    <s v="الحج خميس"/>
    <s v="آجل"/>
    <x v="4"/>
  </r>
  <r>
    <x v="14"/>
    <n v="16"/>
    <n v="360"/>
    <n v="5760"/>
    <s v="الحج خميس"/>
    <s v="آجل"/>
    <x v="4"/>
  </r>
  <r>
    <x v="15"/>
    <n v="5"/>
    <n v="1280"/>
    <n v="6400"/>
    <s v="الحج خميس"/>
    <s v="آجل"/>
    <x v="4"/>
  </r>
  <r>
    <x v="16"/>
    <n v="8"/>
    <n v="420"/>
    <n v="3360"/>
    <s v="الحج خميس"/>
    <s v="آجل"/>
    <x v="4"/>
  </r>
  <r>
    <x v="0"/>
    <n v="20"/>
    <n v="350"/>
    <n v="7000"/>
    <s v="الحج خميس"/>
    <s v="آجل"/>
    <x v="4"/>
  </r>
  <r>
    <x v="17"/>
    <n v="20"/>
    <n v="230"/>
    <n v="4600"/>
    <s v="الحج خميس"/>
    <s v="آجل"/>
    <x v="4"/>
  </r>
  <r>
    <x v="3"/>
    <n v="30"/>
    <n v="180"/>
    <n v="5400"/>
    <s v="الحج خميس"/>
    <s v="آجل"/>
    <x v="4"/>
  </r>
  <r>
    <x v="18"/>
    <n v="12"/>
    <n v="270"/>
    <n v="3240"/>
    <s v="الحج خميس"/>
    <s v="آجل"/>
    <x v="4"/>
  </r>
  <r>
    <x v="19"/>
    <n v="12"/>
    <n v="280"/>
    <n v="3360"/>
    <s v="الحج خميس"/>
    <s v="آجل"/>
    <x v="4"/>
  </r>
  <r>
    <x v="20"/>
    <n v="12"/>
    <n v="300"/>
    <n v="3600"/>
    <s v="الحج خميس"/>
    <s v="آجل"/>
    <x v="4"/>
  </r>
  <r>
    <x v="21"/>
    <n v="12"/>
    <n v="300"/>
    <n v="3600"/>
    <s v="الحج خميس"/>
    <s v="آجل"/>
    <x v="4"/>
  </r>
  <r>
    <x v="5"/>
    <n v="15"/>
    <n v="230"/>
    <n v="3450"/>
    <s v="الحج خميس"/>
    <s v="آجل"/>
    <x v="4"/>
  </r>
  <r>
    <x v="22"/>
    <n v="30"/>
    <n v="160"/>
    <n v="4800"/>
    <s v="الحج خميس"/>
    <s v="آجل"/>
    <x v="4"/>
  </r>
  <r>
    <x v="1"/>
    <n v="20"/>
    <n v="230"/>
    <n v="4600"/>
    <s v="الحج خميس"/>
    <s v="آجل"/>
    <x v="4"/>
  </r>
  <r>
    <x v="23"/>
    <n v="20"/>
    <n v="200"/>
    <n v="4000"/>
    <s v="الحج خميس"/>
    <s v="آجل"/>
    <x v="4"/>
  </r>
  <r>
    <x v="24"/>
    <n v="10"/>
    <n v="1200"/>
    <n v="12000"/>
    <s v="الحج خميس"/>
    <s v="آجل"/>
    <x v="4"/>
  </r>
  <r>
    <x v="25"/>
    <n v="10"/>
    <n v="650"/>
    <n v="6500"/>
    <s v="الحج خميس"/>
    <s v="آجل"/>
    <x v="4"/>
  </r>
  <r>
    <x v="26"/>
    <n v="30"/>
    <n v="420"/>
    <n v="12600"/>
    <s v="الحج خميس"/>
    <s v="آجل"/>
    <x v="4"/>
  </r>
  <r>
    <x v="27"/>
    <n v="1"/>
    <n v="200"/>
    <n v="200"/>
    <s v="محل "/>
    <m/>
    <x v="5"/>
  </r>
  <r>
    <x v="23"/>
    <n v="1"/>
    <n v="200"/>
    <n v="200"/>
    <s v="محل "/>
    <m/>
    <x v="5"/>
  </r>
  <r>
    <x v="28"/>
    <n v="1"/>
    <n v="200"/>
    <n v="200"/>
    <s v="محل "/>
    <m/>
    <x v="5"/>
  </r>
  <r>
    <x v="8"/>
    <n v="1"/>
    <n v="35"/>
    <n v="35"/>
    <s v="محل "/>
    <m/>
    <x v="5"/>
  </r>
  <r>
    <x v="3"/>
    <n v="1"/>
    <n v="170"/>
    <n v="170"/>
    <s v="محل "/>
    <m/>
    <x v="5"/>
  </r>
  <r>
    <x v="14"/>
    <n v="18"/>
    <n v="370"/>
    <n v="6660"/>
    <s v="الحج وليد"/>
    <m/>
    <x v="5"/>
  </r>
  <r>
    <x v="13"/>
    <n v="10"/>
    <n v="780"/>
    <n v="7800"/>
    <s v="الحج وليد"/>
    <m/>
    <x v="5"/>
  </r>
  <r>
    <x v="2"/>
    <n v="1"/>
    <n v="70"/>
    <n v="70"/>
    <s v="محل "/>
    <m/>
    <x v="6"/>
  </r>
  <r>
    <x v="29"/>
    <n v="1"/>
    <n v="60"/>
    <n v="60"/>
    <s v="محل "/>
    <m/>
    <x v="6"/>
  </r>
  <r>
    <x v="3"/>
    <n v="1"/>
    <n v="150"/>
    <n v="150"/>
    <s v="محل "/>
    <m/>
    <x v="6"/>
  </r>
  <r>
    <x v="20"/>
    <n v="1"/>
    <n v="250"/>
    <n v="250"/>
    <s v="محل "/>
    <m/>
    <x v="6"/>
  </r>
  <r>
    <x v="7"/>
    <n v="1"/>
    <n v="20"/>
    <n v="20"/>
    <s v="محل "/>
    <m/>
    <x v="6"/>
  </r>
  <r>
    <x v="26"/>
    <n v="1"/>
    <n v="250"/>
    <n v="250"/>
    <s v="محل "/>
    <m/>
    <x v="6"/>
  </r>
  <r>
    <x v="23"/>
    <n v="1"/>
    <n v="150"/>
    <n v="150"/>
    <s v="محل "/>
    <m/>
    <x v="6"/>
  </r>
  <r>
    <x v="28"/>
    <n v="1"/>
    <n v="150"/>
    <n v="150"/>
    <s v="محل "/>
    <m/>
    <x v="6"/>
  </r>
  <r>
    <x v="27"/>
    <n v="1"/>
    <n v="150"/>
    <n v="150"/>
    <s v="محل "/>
    <m/>
    <x v="6"/>
  </r>
  <r>
    <x v="3"/>
    <n v="1"/>
    <n v="180"/>
    <n v="180"/>
    <s v="محل "/>
    <m/>
    <x v="6"/>
  </r>
  <r>
    <x v="9"/>
    <n v="1"/>
    <n v="250"/>
    <n v="250"/>
    <s v="محل "/>
    <m/>
    <x v="6"/>
  </r>
  <r>
    <x v="26"/>
    <n v="1"/>
    <n v="350"/>
    <n v="350"/>
    <s v="محل "/>
    <m/>
    <x v="6"/>
  </r>
  <r>
    <x v="4"/>
    <n v="2"/>
    <n v="20"/>
    <n v="40"/>
    <s v="محل "/>
    <m/>
    <x v="7"/>
  </r>
  <r>
    <x v="30"/>
    <n v="4"/>
    <n v="300"/>
    <n v="1200"/>
    <s v="محل "/>
    <m/>
    <x v="7"/>
  </r>
  <r>
    <x v="9"/>
    <n v="1"/>
    <n v="200"/>
    <n v="200"/>
    <s v="محل "/>
    <m/>
    <x v="7"/>
  </r>
  <r>
    <x v="5"/>
    <n v="1"/>
    <n v="200"/>
    <n v="200"/>
    <s v="محل "/>
    <m/>
    <x v="7"/>
  </r>
  <r>
    <x v="27"/>
    <n v="1"/>
    <n v="100"/>
    <n v="100"/>
    <s v="محل "/>
    <m/>
    <x v="7"/>
  </r>
  <r>
    <x v="23"/>
    <n v="1"/>
    <n v="150"/>
    <n v="150"/>
    <s v="محل "/>
    <s v="آجل"/>
    <x v="7"/>
  </r>
  <r>
    <x v="9"/>
    <n v="1"/>
    <n v="180"/>
    <n v="180"/>
    <s v="محل "/>
    <m/>
    <x v="7"/>
  </r>
  <r>
    <x v="2"/>
    <n v="1"/>
    <n v="70"/>
    <n v="70"/>
    <s v="محل "/>
    <m/>
    <x v="7"/>
  </r>
  <r>
    <x v="28"/>
    <n v="1"/>
    <n v="100"/>
    <n v="100"/>
    <s v="محل "/>
    <m/>
    <x v="8"/>
  </r>
  <r>
    <x v="3"/>
    <n v="1"/>
    <n v="120"/>
    <n v="120"/>
    <s v="محل "/>
    <m/>
    <x v="8"/>
  </r>
  <r>
    <x v="27"/>
    <n v="1"/>
    <n v="100"/>
    <n v="100"/>
    <s v="محل "/>
    <m/>
    <x v="8"/>
  </r>
  <r>
    <x v="23"/>
    <n v="1"/>
    <n v="100"/>
    <n v="100"/>
    <s v="محل "/>
    <m/>
    <x v="8"/>
  </r>
  <r>
    <x v="26"/>
    <n v="1"/>
    <n v="350"/>
    <n v="350"/>
    <s v="محل "/>
    <m/>
    <x v="8"/>
  </r>
  <r>
    <x v="28"/>
    <n v="1"/>
    <n v="100"/>
    <n v="100"/>
    <s v="محل "/>
    <m/>
    <x v="8"/>
  </r>
  <r>
    <x v="27"/>
    <n v="1"/>
    <n v="100"/>
    <n v="100"/>
    <s v="محل "/>
    <m/>
    <x v="8"/>
  </r>
  <r>
    <x v="1"/>
    <n v="1"/>
    <n v="150"/>
    <n v="150"/>
    <s v="محل "/>
    <m/>
    <x v="8"/>
  </r>
  <r>
    <x v="30"/>
    <n v="1"/>
    <n v="150"/>
    <n v="150"/>
    <s v="محل "/>
    <m/>
    <x v="8"/>
  </r>
  <r>
    <x v="10"/>
    <n v="1"/>
    <n v="100"/>
    <n v="100"/>
    <s v="محل "/>
    <m/>
    <x v="8"/>
  </r>
  <r>
    <x v="11"/>
    <n v="0.5"/>
    <n v="90"/>
    <n v="45"/>
    <s v="محل "/>
    <m/>
    <x v="8"/>
  </r>
  <r>
    <x v="8"/>
    <n v="1"/>
    <n v="40"/>
    <n v="40"/>
    <s v="محل "/>
    <m/>
    <x v="8"/>
  </r>
  <r>
    <x v="4"/>
    <n v="1"/>
    <n v="20"/>
    <n v="20"/>
    <s v="محل "/>
    <m/>
    <x v="8"/>
  </r>
  <r>
    <x v="27"/>
    <n v="1"/>
    <n v="100"/>
    <n v="100"/>
    <s v="محل "/>
    <m/>
    <x v="8"/>
  </r>
  <r>
    <x v="3"/>
    <n v="1"/>
    <n v="150"/>
    <n v="150"/>
    <s v="محل "/>
    <m/>
    <x v="8"/>
  </r>
  <r>
    <x v="3"/>
    <n v="1"/>
    <n v="75"/>
    <n v="75"/>
    <s v="محل "/>
    <m/>
    <x v="9"/>
  </r>
  <r>
    <x v="23"/>
    <n v="1"/>
    <n v="75"/>
    <n v="75"/>
    <s v="محل "/>
    <m/>
    <x v="9"/>
  </r>
  <r>
    <x v="2"/>
    <n v="1"/>
    <n v="80"/>
    <n v="80"/>
    <s v="محل "/>
    <m/>
    <x v="9"/>
  </r>
  <r>
    <x v="10"/>
    <n v="1.25"/>
    <n v="80"/>
    <n v="100"/>
    <s v="محل "/>
    <m/>
    <x v="9"/>
  </r>
  <r>
    <x v="11"/>
    <n v="1"/>
    <n v="60"/>
    <n v="60"/>
    <s v="محل "/>
    <m/>
    <x v="9"/>
  </r>
  <r>
    <x v="31"/>
    <n v="2"/>
    <n v="40"/>
    <n v="80"/>
    <s v="محل "/>
    <m/>
    <x v="9"/>
  </r>
  <r>
    <x v="7"/>
    <n v="10"/>
    <n v="15"/>
    <n v="150"/>
    <s v="محل "/>
    <m/>
    <x v="10"/>
  </r>
  <r>
    <x v="1"/>
    <n v="1"/>
    <n v="110"/>
    <n v="110"/>
    <s v="محل "/>
    <m/>
    <x v="10"/>
  </r>
  <r>
    <x v="32"/>
    <n v="1"/>
    <n v="50"/>
    <n v="50"/>
    <s v="محل "/>
    <m/>
    <x v="10"/>
  </r>
  <r>
    <x v="27"/>
    <n v="1"/>
    <n v="100"/>
    <n v="100"/>
    <s v="محل "/>
    <m/>
    <x v="10"/>
  </r>
  <r>
    <x v="28"/>
    <n v="2"/>
    <n v="100"/>
    <n v="200"/>
    <s v="محل "/>
    <m/>
    <x v="10"/>
  </r>
  <r>
    <x v="32"/>
    <n v="1"/>
    <n v="50"/>
    <n v="50"/>
    <s v="محل "/>
    <m/>
    <x v="10"/>
  </r>
  <r>
    <x v="33"/>
    <n v="1"/>
    <n v="100"/>
    <n v="100"/>
    <s v="محل "/>
    <m/>
    <x v="10"/>
  </r>
  <r>
    <x v="33"/>
    <n v="3"/>
    <n v="130"/>
    <n v="390"/>
    <s v="محل "/>
    <m/>
    <x v="10"/>
  </r>
  <r>
    <x v="7"/>
    <n v="2"/>
    <n v="15"/>
    <n v="30"/>
    <s v="محل "/>
    <m/>
    <x v="10"/>
  </r>
  <r>
    <x v="3"/>
    <n v="1"/>
    <n v="110"/>
    <n v="110"/>
    <s v="محل "/>
    <m/>
    <x v="11"/>
  </r>
  <r>
    <x v="32"/>
    <n v="2"/>
    <n v="70"/>
    <n v="140"/>
    <s v="محل "/>
    <m/>
    <x v="11"/>
  </r>
  <r>
    <x v="2"/>
    <n v="2"/>
    <n v="50"/>
    <n v="100"/>
    <s v="محل "/>
    <m/>
    <x v="11"/>
  </r>
  <r>
    <x v="7"/>
    <n v="2"/>
    <n v="15"/>
    <n v="30"/>
    <s v="محل "/>
    <m/>
    <x v="12"/>
  </r>
  <r>
    <x v="23"/>
    <n v="1"/>
    <n v="70"/>
    <n v="70"/>
    <s v="محل "/>
    <m/>
    <x v="12"/>
  </r>
  <r>
    <x v="34"/>
    <n v="3"/>
    <n v="80"/>
    <n v="240"/>
    <s v="محل "/>
    <m/>
    <x v="12"/>
  </r>
  <r>
    <x v="30"/>
    <n v="1"/>
    <n v="250"/>
    <n v="250"/>
    <s v="محل "/>
    <m/>
    <x v="12"/>
  </r>
  <r>
    <x v="34"/>
    <n v="1"/>
    <n v="80"/>
    <n v="80"/>
    <s v="محل "/>
    <m/>
    <x v="13"/>
  </r>
  <r>
    <x v="5"/>
    <n v="1"/>
    <n v="160"/>
    <n v="160"/>
    <s v="محل "/>
    <m/>
    <x v="13"/>
  </r>
  <r>
    <x v="10"/>
    <n v="1"/>
    <n v="100"/>
    <n v="100"/>
    <s v="محل "/>
    <m/>
    <x v="13"/>
  </r>
  <r>
    <x v="11"/>
    <n v="1"/>
    <n v="100"/>
    <n v="100"/>
    <s v="محل "/>
    <m/>
    <x v="13"/>
  </r>
  <r>
    <x v="5"/>
    <n v="1"/>
    <n v="180"/>
    <n v="180"/>
    <s v="محل "/>
    <m/>
    <x v="13"/>
  </r>
  <r>
    <x v="6"/>
    <n v="1"/>
    <n v="170"/>
    <n v="170"/>
    <s v="محل "/>
    <m/>
    <x v="13"/>
  </r>
  <r>
    <x v="3"/>
    <n v="1"/>
    <n v="200"/>
    <n v="200"/>
    <s v="محل "/>
    <m/>
    <x v="13"/>
  </r>
  <r>
    <x v="30"/>
    <n v="2"/>
    <n v="250"/>
    <n v="500"/>
    <s v="محل "/>
    <m/>
    <x v="14"/>
  </r>
  <r>
    <x v="23"/>
    <n v="1"/>
    <n v="50"/>
    <n v="50"/>
    <s v="محل "/>
    <m/>
    <x v="14"/>
  </r>
  <r>
    <x v="27"/>
    <n v="1"/>
    <n v="100"/>
    <n v="100"/>
    <s v="محل "/>
    <m/>
    <x v="14"/>
  </r>
  <r>
    <x v="28"/>
    <n v="1"/>
    <n v="100"/>
    <n v="100"/>
    <s v="محل "/>
    <m/>
    <x v="14"/>
  </r>
  <r>
    <x v="4"/>
    <n v="1"/>
    <n v="15"/>
    <n v="15"/>
    <s v="محل "/>
    <m/>
    <x v="14"/>
  </r>
  <r>
    <x v="34"/>
    <n v="1"/>
    <n v="80"/>
    <n v="80"/>
    <s v="محل "/>
    <m/>
    <x v="14"/>
  </r>
  <r>
    <x v="30"/>
    <n v="3"/>
    <n v="300"/>
    <n v="900"/>
    <s v="محل "/>
    <s v="آجل"/>
    <x v="15"/>
  </r>
  <r>
    <x v="3"/>
    <n v="1"/>
    <n v="120"/>
    <n v="120"/>
    <s v="محل "/>
    <m/>
    <x v="15"/>
  </r>
  <r>
    <x v="5"/>
    <n v="1"/>
    <n v="100"/>
    <n v="100"/>
    <s v="محل "/>
    <m/>
    <x v="16"/>
  </r>
  <r>
    <x v="30"/>
    <n v="1"/>
    <n v="100"/>
    <n v="100"/>
    <s v="محل "/>
    <m/>
    <x v="16"/>
  </r>
  <r>
    <x v="35"/>
    <n v="4"/>
    <n v="100"/>
    <n v="400"/>
    <s v="محل "/>
    <m/>
    <x v="16"/>
  </r>
  <r>
    <x v="31"/>
    <n v="3"/>
    <n v="45"/>
    <n v="135"/>
    <s v="محل "/>
    <m/>
    <x v="16"/>
  </r>
  <r>
    <x v="5"/>
    <n v="1"/>
    <n v="150"/>
    <n v="150"/>
    <s v="محل "/>
    <m/>
    <x v="16"/>
  </r>
  <r>
    <x v="1"/>
    <n v="1"/>
    <n v="100"/>
    <n v="100"/>
    <s v="محل "/>
    <m/>
    <x v="16"/>
  </r>
  <r>
    <x v="23"/>
    <n v="1"/>
    <n v="50"/>
    <n v="50"/>
    <s v="محل "/>
    <m/>
    <x v="16"/>
  </r>
  <r>
    <x v="3"/>
    <n v="1"/>
    <n v="100"/>
    <n v="100"/>
    <s v="محل "/>
    <m/>
    <x v="16"/>
  </r>
  <r>
    <x v="32"/>
    <n v="1"/>
    <n v="50"/>
    <n v="50"/>
    <s v="محل "/>
    <m/>
    <x v="16"/>
  </r>
  <r>
    <x v="27"/>
    <n v="1"/>
    <n v="100"/>
    <n v="100"/>
    <s v="محل "/>
    <m/>
    <x v="16"/>
  </r>
  <r>
    <x v="4"/>
    <n v="2"/>
    <n v="15"/>
    <n v="30"/>
    <s v="محل "/>
    <m/>
    <x v="16"/>
  </r>
  <r>
    <x v="32"/>
    <n v="1"/>
    <n v="70"/>
    <n v="70"/>
    <s v="محل "/>
    <m/>
    <x v="17"/>
  </r>
  <r>
    <x v="4"/>
    <n v="1"/>
    <n v="15"/>
    <n v="15"/>
    <s v="محل "/>
    <m/>
    <x v="17"/>
  </r>
  <r>
    <x v="33"/>
    <n v="1"/>
    <n v="100"/>
    <n v="100"/>
    <s v="محل "/>
    <m/>
    <x v="18"/>
  </r>
  <r>
    <x v="32"/>
    <n v="1"/>
    <n v="100"/>
    <n v="100"/>
    <s v="محل "/>
    <m/>
    <x v="18"/>
  </r>
  <r>
    <x v="0"/>
    <n v="20"/>
    <n v="250"/>
    <n v="5000"/>
    <s v="مصطفي عبد التواب"/>
    <s v="آجل"/>
    <x v="18"/>
  </r>
  <r>
    <x v="23"/>
    <n v="30"/>
    <n v="70"/>
    <n v="2100"/>
    <s v="مصطفي عبد التواب"/>
    <s v="آجل"/>
    <x v="18"/>
  </r>
  <r>
    <x v="36"/>
    <n v="1"/>
    <n v="350"/>
    <n v="350"/>
    <s v="محل "/>
    <m/>
    <x v="19"/>
  </r>
  <r>
    <x v="5"/>
    <n v="1"/>
    <n v="150"/>
    <n v="150"/>
    <s v="محل "/>
    <m/>
    <x v="19"/>
  </r>
  <r>
    <x v="37"/>
    <n v="1"/>
    <n v="250"/>
    <n v="250"/>
    <s v="محل "/>
    <m/>
    <x v="19"/>
  </r>
  <r>
    <x v="32"/>
    <n v="1"/>
    <n v="100"/>
    <n v="100"/>
    <s v="محل "/>
    <m/>
    <x v="19"/>
  </r>
  <r>
    <x v="27"/>
    <n v="1"/>
    <n v="100"/>
    <n v="100"/>
    <s v="محل "/>
    <m/>
    <x v="19"/>
  </r>
  <r>
    <x v="38"/>
    <n v="1"/>
    <n v="350"/>
    <n v="350"/>
    <s v="محل "/>
    <m/>
    <x v="19"/>
  </r>
  <r>
    <x v="5"/>
    <n v="1"/>
    <n v="200"/>
    <n v="200"/>
    <s v="محل "/>
    <m/>
    <x v="20"/>
  </r>
  <r>
    <x v="32"/>
    <n v="1"/>
    <n v="50"/>
    <n v="50"/>
    <s v="محل "/>
    <m/>
    <x v="20"/>
  </r>
  <r>
    <x v="27"/>
    <n v="1"/>
    <n v="100"/>
    <n v="100"/>
    <s v="محل "/>
    <m/>
    <x v="20"/>
  </r>
  <r>
    <x v="3"/>
    <n v="1"/>
    <n v="100"/>
    <n v="100"/>
    <s v="محل "/>
    <m/>
    <x v="20"/>
  </r>
  <r>
    <x v="2"/>
    <n v="1"/>
    <n v="50"/>
    <n v="50"/>
    <s v="محل "/>
    <s v="مرتجع "/>
    <x v="21"/>
  </r>
  <r>
    <x v="31"/>
    <n v="1"/>
    <n v="45"/>
    <n v="45"/>
    <s v="محل "/>
    <m/>
    <x v="21"/>
  </r>
  <r>
    <x v="4"/>
    <n v="1"/>
    <n v="10"/>
    <n v="10"/>
    <s v="محل "/>
    <m/>
    <x v="21"/>
  </r>
  <r>
    <x v="39"/>
    <n v="1"/>
    <n v="60"/>
    <n v="60"/>
    <s v="محل "/>
    <m/>
    <x v="21"/>
  </r>
  <r>
    <x v="28"/>
    <n v="1"/>
    <n v="100"/>
    <n v="100"/>
    <s v="محل "/>
    <m/>
    <x v="21"/>
  </r>
  <r>
    <x v="31"/>
    <n v="1"/>
    <n v="45"/>
    <n v="45"/>
    <s v="محل "/>
    <m/>
    <x v="21"/>
  </r>
  <r>
    <x v="5"/>
    <n v="1"/>
    <n v="150"/>
    <n v="150"/>
    <s v="محل "/>
    <m/>
    <x v="21"/>
  </r>
  <r>
    <x v="2"/>
    <n v="1"/>
    <n v="50"/>
    <n v="50"/>
    <s v="محل "/>
    <m/>
    <x v="21"/>
  </r>
  <r>
    <x v="27"/>
    <n v="1"/>
    <n v="100"/>
    <n v="100"/>
    <s v="محل "/>
    <m/>
    <x v="21"/>
  </r>
  <r>
    <x v="32"/>
    <n v="1"/>
    <n v="50"/>
    <n v="50"/>
    <s v="محل "/>
    <m/>
    <x v="21"/>
  </r>
  <r>
    <x v="4"/>
    <n v="1"/>
    <n v="10"/>
    <n v="10"/>
    <s v="محل "/>
    <m/>
    <x v="21"/>
  </r>
  <r>
    <x v="5"/>
    <n v="4"/>
    <n v="290"/>
    <n v="1160"/>
    <s v="محل "/>
    <s v="آجل"/>
    <x v="21"/>
  </r>
  <r>
    <x v="30"/>
    <n v="3"/>
    <n v="145"/>
    <n v="435"/>
    <s v="محل "/>
    <s v="آجل"/>
    <x v="21"/>
  </r>
  <r>
    <x v="32"/>
    <n v="1"/>
    <n v="50"/>
    <n v="50"/>
    <s v="محل "/>
    <m/>
    <x v="22"/>
  </r>
  <r>
    <x v="27"/>
    <n v="1"/>
    <n v="100"/>
    <n v="100"/>
    <s v="محل "/>
    <m/>
    <x v="22"/>
  </r>
  <r>
    <x v="28"/>
    <n v="1"/>
    <n v="100"/>
    <n v="100"/>
    <s v="محل "/>
    <m/>
    <x v="22"/>
  </r>
  <r>
    <x v="3"/>
    <n v="1"/>
    <n v="100"/>
    <n v="100"/>
    <s v="محل "/>
    <m/>
    <x v="22"/>
  </r>
  <r>
    <x v="2"/>
    <n v="1"/>
    <n v="80"/>
    <n v="80"/>
    <s v="محل "/>
    <m/>
    <x v="22"/>
  </r>
  <r>
    <x v="40"/>
    <n v="1"/>
    <n v="250"/>
    <n v="250"/>
    <s v="محل "/>
    <m/>
    <x v="22"/>
  </r>
  <r>
    <x v="32"/>
    <n v="1"/>
    <n v="50"/>
    <n v="50"/>
    <s v="محل "/>
    <m/>
    <x v="23"/>
  </r>
  <r>
    <x v="27"/>
    <n v="1"/>
    <n v="100"/>
    <n v="100"/>
    <s v="محل "/>
    <m/>
    <x v="23"/>
  </r>
  <r>
    <x v="28"/>
    <n v="1"/>
    <n v="100"/>
    <n v="100"/>
    <s v="محل "/>
    <m/>
    <x v="23"/>
  </r>
  <r>
    <x v="40"/>
    <n v="1"/>
    <n v="250"/>
    <n v="250"/>
    <s v="محل "/>
    <m/>
    <x v="23"/>
  </r>
  <r>
    <x v="10"/>
    <n v="2"/>
    <n v="50"/>
    <n v="100"/>
    <s v="محل "/>
    <m/>
    <x v="23"/>
  </r>
  <r>
    <x v="11"/>
    <n v="1"/>
    <n v="80"/>
    <n v="80"/>
    <s v="محل "/>
    <m/>
    <x v="23"/>
  </r>
  <r>
    <x v="5"/>
    <n v="1"/>
    <n v="180"/>
    <n v="180"/>
    <s v="محل "/>
    <m/>
    <x v="23"/>
  </r>
  <r>
    <x v="5"/>
    <n v="5"/>
    <n v="200"/>
    <n v="1000"/>
    <s v="محل "/>
    <m/>
    <x v="23"/>
  </r>
  <r>
    <x v="30"/>
    <n v="5"/>
    <n v="300"/>
    <n v="1500"/>
    <s v="محل "/>
    <m/>
    <x v="23"/>
  </r>
  <r>
    <x v="30"/>
    <n v="25"/>
    <n v="400"/>
    <n v="10000"/>
    <s v="الحج خالد زبالة "/>
    <s v="آجل"/>
    <x v="23"/>
  </r>
  <r>
    <x v="15"/>
    <n v="15"/>
    <n v="1400"/>
    <n v="21000"/>
    <s v="الحج خالد زبالة "/>
    <s v="آجل"/>
    <x v="23"/>
  </r>
  <r>
    <x v="6"/>
    <n v="25"/>
    <n v="450"/>
    <n v="11250"/>
    <s v="الحج خالد زبالة "/>
    <s v="آجل"/>
    <x v="23"/>
  </r>
  <r>
    <x v="11"/>
    <n v="12"/>
    <n v="550"/>
    <n v="6600"/>
    <s v="الحج خالد زبالة "/>
    <s v="آجل"/>
    <x v="23"/>
  </r>
  <r>
    <x v="16"/>
    <n v="25"/>
    <n v="550"/>
    <n v="13750"/>
    <s v="الحج خالد زبالة "/>
    <s v="آجل"/>
    <x v="23"/>
  </r>
  <r>
    <x v="2"/>
    <n v="48"/>
    <n v="75"/>
    <n v="3600"/>
    <s v="الحج خالد زبالة "/>
    <s v="آجل"/>
    <x v="23"/>
  </r>
  <r>
    <x v="41"/>
    <n v="11"/>
    <n v="1250"/>
    <n v="13750"/>
    <s v="الحج خالد زبالة "/>
    <s v="آجل"/>
    <x v="23"/>
  </r>
  <r>
    <x v="32"/>
    <n v="1"/>
    <n v="50"/>
    <n v="50"/>
    <s v="محل "/>
    <m/>
    <x v="24"/>
  </r>
  <r>
    <x v="40"/>
    <n v="1"/>
    <n v="250"/>
    <n v="250"/>
    <s v="محل "/>
    <m/>
    <x v="24"/>
  </r>
  <r>
    <x v="3"/>
    <n v="2"/>
    <n v="120"/>
    <n v="240"/>
    <s v="محل "/>
    <m/>
    <x v="24"/>
  </r>
  <r>
    <x v="1"/>
    <n v="1"/>
    <n v="140"/>
    <n v="140"/>
    <s v="محل "/>
    <m/>
    <x v="24"/>
  </r>
  <r>
    <x v="32"/>
    <n v="1"/>
    <n v="80"/>
    <n v="80"/>
    <s v="محل "/>
    <m/>
    <x v="24"/>
  </r>
  <r>
    <x v="10"/>
    <n v="1"/>
    <n v="90"/>
    <n v="90"/>
    <s v="محل "/>
    <m/>
    <x v="24"/>
  </r>
  <r>
    <x v="5"/>
    <n v="1"/>
    <n v="180"/>
    <n v="180"/>
    <s v="محل "/>
    <m/>
    <x v="25"/>
  </r>
  <r>
    <x v="11"/>
    <n v="2"/>
    <n v="550"/>
    <n v="1100"/>
    <s v="محل "/>
    <s v="آجل"/>
    <x v="25"/>
  </r>
  <r>
    <x v="33"/>
    <n v="1"/>
    <n v="130"/>
    <n v="130"/>
    <s v="محل "/>
    <m/>
    <x v="25"/>
  </r>
  <r>
    <x v="32"/>
    <n v="1"/>
    <n v="70"/>
    <n v="70"/>
    <s v="محل "/>
    <m/>
    <x v="25"/>
  </r>
  <r>
    <x v="32"/>
    <n v="1"/>
    <n v="100"/>
    <n v="100"/>
    <s v="محل "/>
    <m/>
    <x v="26"/>
  </r>
  <r>
    <x v="28"/>
    <n v="1"/>
    <n v="100"/>
    <n v="100"/>
    <s v="محل "/>
    <m/>
    <x v="26"/>
  </r>
  <r>
    <x v="3"/>
    <n v="1"/>
    <n v="100"/>
    <n v="100"/>
    <s v="محل "/>
    <m/>
    <x v="26"/>
  </r>
  <r>
    <x v="32"/>
    <n v="1"/>
    <n v="50"/>
    <n v="50"/>
    <s v="محل "/>
    <s v="آجل"/>
    <x v="26"/>
  </r>
  <r>
    <x v="27"/>
    <n v="1"/>
    <n v="100"/>
    <n v="100"/>
    <s v="محل "/>
    <m/>
    <x v="26"/>
  </r>
  <r>
    <x v="28"/>
    <n v="1"/>
    <n v="100"/>
    <n v="100"/>
    <s v="محل "/>
    <m/>
    <x v="26"/>
  </r>
  <r>
    <x v="31"/>
    <n v="1"/>
    <n v="50"/>
    <n v="50"/>
    <s v="محل "/>
    <m/>
    <x v="26"/>
  </r>
  <r>
    <x v="5"/>
    <n v="1"/>
    <n v="150"/>
    <n v="150"/>
    <s v="محل "/>
    <m/>
    <x v="26"/>
  </r>
  <r>
    <x v="42"/>
    <n v="1"/>
    <n v="50"/>
    <n v="50"/>
    <s v="محل "/>
    <m/>
    <x v="26"/>
  </r>
  <r>
    <x v="10"/>
    <n v="2"/>
    <n v="80"/>
    <n v="160"/>
    <s v="محل "/>
    <m/>
    <x v="27"/>
  </r>
  <r>
    <x v="11"/>
    <n v="1"/>
    <n v="80"/>
    <n v="80"/>
    <s v="محل "/>
    <m/>
    <x v="27"/>
  </r>
  <r>
    <x v="3"/>
    <n v="1"/>
    <n v="120"/>
    <n v="120"/>
    <s v="محل "/>
    <m/>
    <x v="27"/>
  </r>
  <r>
    <x v="11"/>
    <n v="1"/>
    <n v="530"/>
    <n v="530"/>
    <s v="محل "/>
    <m/>
    <x v="27"/>
  </r>
  <r>
    <x v="37"/>
    <n v="1"/>
    <n v="350"/>
    <n v="350"/>
    <s v="محل "/>
    <m/>
    <x v="27"/>
  </r>
  <r>
    <x v="40"/>
    <n v="1"/>
    <n v="300"/>
    <n v="300"/>
    <s v="محل "/>
    <m/>
    <x v="27"/>
  </r>
  <r>
    <x v="10"/>
    <n v="1"/>
    <n v="400"/>
    <n v="400"/>
    <s v="محل "/>
    <m/>
    <x v="28"/>
  </r>
  <r>
    <x v="11"/>
    <n v="3"/>
    <n v="80"/>
    <n v="240"/>
    <s v="محل "/>
    <m/>
    <x v="28"/>
  </r>
  <r>
    <x v="13"/>
    <n v="3"/>
    <n v="750"/>
    <n v="2250"/>
    <s v="محل "/>
    <m/>
    <x v="28"/>
  </r>
  <r>
    <x v="3"/>
    <n v="5"/>
    <n v="160"/>
    <n v="800"/>
    <s v="محل "/>
    <m/>
    <x v="28"/>
  </r>
  <r>
    <x v="14"/>
    <n v="1"/>
    <n v="500"/>
    <n v="500"/>
    <s v="محل "/>
    <m/>
    <x v="28"/>
  </r>
  <r>
    <x v="7"/>
    <n v="1"/>
    <n v="10"/>
    <n v="10"/>
    <s v="محل "/>
    <m/>
    <x v="29"/>
  </r>
  <r>
    <x v="4"/>
    <n v="4"/>
    <n v="15"/>
    <n v="60"/>
    <s v="محل "/>
    <m/>
    <x v="29"/>
  </r>
  <r>
    <x v="3"/>
    <n v="1"/>
    <n v="120"/>
    <n v="120"/>
    <s v="محل "/>
    <m/>
    <x v="29"/>
  </r>
  <r>
    <x v="33"/>
    <n v="1"/>
    <n v="130"/>
    <n v="130"/>
    <s v="محل "/>
    <m/>
    <x v="29"/>
  </r>
  <r>
    <x v="5"/>
    <n v="2"/>
    <n v="200"/>
    <n v="400"/>
    <s v="محل "/>
    <m/>
    <x v="29"/>
  </r>
  <r>
    <x v="30"/>
    <n v="2"/>
    <n v="300"/>
    <n v="600"/>
    <s v="محل "/>
    <m/>
    <x v="29"/>
  </r>
  <r>
    <x v="5"/>
    <n v="1"/>
    <n v="180"/>
    <n v="180"/>
    <s v="محل "/>
    <m/>
    <x v="30"/>
  </r>
  <r>
    <x v="1"/>
    <n v="1"/>
    <n v="150"/>
    <n v="150"/>
    <s v="محل "/>
    <m/>
    <x v="30"/>
  </r>
  <r>
    <x v="31"/>
    <n v="1"/>
    <n v="50"/>
    <n v="50"/>
    <s v="محل "/>
    <m/>
    <x v="30"/>
  </r>
  <r>
    <x v="10"/>
    <n v="0.5"/>
    <n v="90"/>
    <n v="45"/>
    <s v="محل "/>
    <m/>
    <x v="30"/>
  </r>
  <r>
    <x v="11"/>
    <n v="0.5"/>
    <n v="90"/>
    <n v="45"/>
    <s v="محل "/>
    <m/>
    <x v="30"/>
  </r>
  <r>
    <x v="5"/>
    <n v="1"/>
    <n v="150"/>
    <n v="150"/>
    <s v="محل "/>
    <m/>
    <x v="30"/>
  </r>
  <r>
    <x v="3"/>
    <n v="1"/>
    <n v="170"/>
    <n v="170"/>
    <s v="محل "/>
    <m/>
    <x v="30"/>
  </r>
  <r>
    <x v="10"/>
    <n v="0.25"/>
    <n v="80"/>
    <n v="20"/>
    <s v="محل "/>
    <m/>
    <x v="30"/>
  </r>
  <r>
    <x v="6"/>
    <n v="1"/>
    <n v="250"/>
    <n v="250"/>
    <s v="محل "/>
    <m/>
    <x v="30"/>
  </r>
  <r>
    <x v="15"/>
    <n v="1"/>
    <n v="1300"/>
    <n v="1300"/>
    <s v="مزرعة الطماطم"/>
    <s v="آجل"/>
    <x v="30"/>
  </r>
  <r>
    <x v="11"/>
    <n v="2"/>
    <n v="800"/>
    <n v="1600"/>
    <s v="مزرعة الطماطم"/>
    <s v="آجل"/>
    <x v="30"/>
  </r>
  <r>
    <x v="16"/>
    <n v="2"/>
    <n v="500"/>
    <n v="1000"/>
    <s v="مزرعة الطماطم"/>
    <s v="آجل"/>
    <x v="30"/>
  </r>
  <r>
    <x v="30"/>
    <n v="1"/>
    <n v="550"/>
    <n v="550"/>
    <s v="مزرعة الطماطم"/>
    <s v="آجل"/>
    <x v="30"/>
  </r>
  <r>
    <x v="2"/>
    <n v="1"/>
    <n v="200"/>
    <n v="200"/>
    <s v="مزرعة الطماطم"/>
    <s v="آجل"/>
    <x v="30"/>
  </r>
  <r>
    <x v="25"/>
    <n v="2"/>
    <n v="1250"/>
    <n v="2500"/>
    <s v="مزرعة الطماطم"/>
    <s v="آجل"/>
    <x v="30"/>
  </r>
  <r>
    <x v="10"/>
    <n v="2"/>
    <n v="800"/>
    <n v="1600"/>
    <s v="مزرعة الطماطم"/>
    <s v="آجل"/>
    <x v="30"/>
  </r>
  <r>
    <x v="20"/>
    <n v="1"/>
    <n v="500"/>
    <n v="500"/>
    <s v="مزرعة الطماطم"/>
    <s v="آجل"/>
    <x v="30"/>
  </r>
  <r>
    <x v="19"/>
    <n v="1"/>
    <n v="500"/>
    <n v="500"/>
    <s v="مزرعة الطماطم"/>
    <s v="آجل"/>
    <x v="30"/>
  </r>
  <r>
    <x v="5"/>
    <n v="2"/>
    <n v="350"/>
    <n v="700"/>
    <s v="مزرعة الطماطم"/>
    <s v="آجل"/>
    <x v="30"/>
  </r>
  <r>
    <x v="14"/>
    <n v="1"/>
    <n v="500"/>
    <n v="500"/>
    <s v="مزرعة الطماطم"/>
    <s v="آجل"/>
    <x v="30"/>
  </r>
  <r>
    <x v="9"/>
    <n v="1"/>
    <n v="450"/>
    <n v="450"/>
    <s v="مزرعة الطماطم"/>
    <s v="آجل"/>
    <x v="30"/>
  </r>
  <r>
    <x v="3"/>
    <n v="1"/>
    <n v="220"/>
    <n v="220"/>
    <s v="مزرعة الطماطم"/>
    <s v="آجل"/>
    <x v="30"/>
  </r>
  <r>
    <x v="43"/>
    <n v="1"/>
    <n v="1700"/>
    <n v="1700"/>
    <s v="مزرعة الطماطم"/>
    <s v="آجل"/>
    <x v="30"/>
  </r>
  <r>
    <x v="24"/>
    <n v="1"/>
    <n v="1450"/>
    <n v="1450"/>
    <s v="مزرعة الطماطم"/>
    <s v="آجل"/>
    <x v="30"/>
  </r>
  <r>
    <x v="12"/>
    <n v="2"/>
    <n v="400"/>
    <n v="800"/>
    <s v="مزرعة الطماطم"/>
    <s v="آجل"/>
    <x v="30"/>
  </r>
  <r>
    <x v="44"/>
    <n v="2"/>
    <n v="350"/>
    <n v="700"/>
    <s v="مزرعة الطماطم"/>
    <s v="آجل"/>
    <x v="30"/>
  </r>
  <r>
    <x v="31"/>
    <n v="1"/>
    <n v="50"/>
    <n v="50"/>
    <s v="محل "/>
    <m/>
    <x v="31"/>
  </r>
  <r>
    <x v="27"/>
    <n v="1"/>
    <n v="100"/>
    <n v="100"/>
    <s v="محل "/>
    <m/>
    <x v="31"/>
  </r>
  <r>
    <x v="32"/>
    <n v="1"/>
    <n v="100"/>
    <n v="100"/>
    <s v="محل "/>
    <m/>
    <x v="31"/>
  </r>
  <r>
    <x v="45"/>
    <n v="1"/>
    <n v="230"/>
    <n v="230"/>
    <s v="محل "/>
    <s v="آجل"/>
    <x v="31"/>
  </r>
  <r>
    <x v="32"/>
    <n v="1"/>
    <n v="70"/>
    <n v="70"/>
    <s v="محل "/>
    <m/>
    <x v="31"/>
  </r>
  <r>
    <x v="4"/>
    <n v="2"/>
    <n v="20"/>
    <n v="40"/>
    <s v="محل "/>
    <m/>
    <x v="31"/>
  </r>
  <r>
    <x v="7"/>
    <n v="8"/>
    <n v="15"/>
    <n v="120"/>
    <s v="محل "/>
    <m/>
    <x v="32"/>
  </r>
  <r>
    <x v="4"/>
    <n v="1"/>
    <n v="20"/>
    <n v="20"/>
    <s v="محل "/>
    <m/>
    <x v="32"/>
  </r>
  <r>
    <x v="7"/>
    <n v="3"/>
    <n v="15"/>
    <n v="45"/>
    <s v="محل "/>
    <m/>
    <x v="32"/>
  </r>
  <r>
    <x v="32"/>
    <n v="1"/>
    <n v="100"/>
    <n v="100"/>
    <s v="محل "/>
    <m/>
    <x v="32"/>
  </r>
  <r>
    <x v="28"/>
    <n v="1"/>
    <n v="100"/>
    <n v="100"/>
    <s v="محل "/>
    <m/>
    <x v="32"/>
  </r>
  <r>
    <x v="27"/>
    <n v="1"/>
    <n v="100"/>
    <n v="100"/>
    <s v="محل "/>
    <m/>
    <x v="32"/>
  </r>
  <r>
    <x v="5"/>
    <n v="1"/>
    <n v="140"/>
    <n v="140"/>
    <s v="محل "/>
    <m/>
    <x v="32"/>
  </r>
  <r>
    <x v="30"/>
    <n v="1"/>
    <n v="300"/>
    <n v="300"/>
    <s v="محل "/>
    <m/>
    <x v="32"/>
  </r>
  <r>
    <x v="46"/>
    <n v="1"/>
    <n v="150"/>
    <n v="150"/>
    <s v="محل "/>
    <m/>
    <x v="32"/>
  </r>
  <r>
    <x v="1"/>
    <n v="1"/>
    <n v="120"/>
    <n v="120"/>
    <s v="محل "/>
    <m/>
    <x v="33"/>
  </r>
  <r>
    <x v="4"/>
    <n v="1"/>
    <n v="15"/>
    <n v="15"/>
    <s v="محل "/>
    <m/>
    <x v="33"/>
  </r>
  <r>
    <x v="11"/>
    <n v="1"/>
    <n v="80"/>
    <n v="80"/>
    <s v="محل "/>
    <m/>
    <x v="33"/>
  </r>
  <r>
    <x v="27"/>
    <n v="6"/>
    <n v="100"/>
    <n v="600"/>
    <s v="محل "/>
    <m/>
    <x v="33"/>
  </r>
  <r>
    <x v="32"/>
    <n v="6"/>
    <m/>
    <n v="0"/>
    <s v="محل "/>
    <m/>
    <x v="33"/>
  </r>
  <r>
    <x v="12"/>
    <n v="1"/>
    <n v="300"/>
    <n v="300"/>
    <s v="محل "/>
    <s v="آجل"/>
    <x v="33"/>
  </r>
  <r>
    <x v="4"/>
    <n v="1"/>
    <n v="15"/>
    <n v="15"/>
    <s v="محل "/>
    <m/>
    <x v="33"/>
  </r>
  <r>
    <x v="33"/>
    <n v="1"/>
    <n v="130"/>
    <n v="130"/>
    <s v="محل "/>
    <m/>
    <x v="33"/>
  </r>
  <r>
    <x v="32"/>
    <n v="1"/>
    <n v="90"/>
    <n v="90"/>
    <s v="محل "/>
    <m/>
    <x v="33"/>
  </r>
  <r>
    <x v="32"/>
    <n v="1"/>
    <n v="80"/>
    <n v="80"/>
    <s v="محل "/>
    <m/>
    <x v="34"/>
  </r>
  <r>
    <x v="27"/>
    <n v="1"/>
    <n v="100"/>
    <n v="100"/>
    <s v="محل "/>
    <m/>
    <x v="34"/>
  </r>
  <r>
    <x v="11"/>
    <n v="1"/>
    <n v="80"/>
    <n v="80"/>
    <s v="محل "/>
    <m/>
    <x v="34"/>
  </r>
  <r>
    <x v="10"/>
    <n v="1"/>
    <n v="80"/>
    <n v="80"/>
    <s v="محل "/>
    <m/>
    <x v="34"/>
  </r>
  <r>
    <x v="31"/>
    <n v="1"/>
    <n v="45"/>
    <n v="45"/>
    <s v="محل "/>
    <m/>
    <x v="34"/>
  </r>
  <r>
    <x v="2"/>
    <n v="1"/>
    <n v="75"/>
    <n v="75"/>
    <s v="محل "/>
    <m/>
    <x v="34"/>
  </r>
  <r>
    <x v="32"/>
    <n v="1"/>
    <n v="80"/>
    <n v="80"/>
    <s v="محل "/>
    <m/>
    <x v="34"/>
  </r>
  <r>
    <x v="33"/>
    <n v="1"/>
    <n v="100"/>
    <n v="100"/>
    <s v="محل "/>
    <m/>
    <x v="34"/>
  </r>
  <r>
    <x v="4"/>
    <n v="1"/>
    <n v="20"/>
    <n v="20"/>
    <s v="محل "/>
    <m/>
    <x v="34"/>
  </r>
  <r>
    <x v="5"/>
    <n v="1"/>
    <n v="180"/>
    <n v="180"/>
    <s v="محل "/>
    <m/>
    <x v="35"/>
  </r>
  <r>
    <x v="33"/>
    <n v="1"/>
    <n v="130"/>
    <n v="130"/>
    <s v="محل "/>
    <m/>
    <x v="35"/>
  </r>
  <r>
    <x v="7"/>
    <n v="2"/>
    <n v="15"/>
    <n v="30"/>
    <s v="محل "/>
    <m/>
    <x v="35"/>
  </r>
  <r>
    <x v="5"/>
    <n v="1"/>
    <n v="200"/>
    <n v="200"/>
    <s v="محل "/>
    <m/>
    <x v="35"/>
  </r>
  <r>
    <x v="11"/>
    <n v="1"/>
    <n v="100"/>
    <n v="100"/>
    <s v="محل "/>
    <m/>
    <x v="35"/>
  </r>
  <r>
    <x v="30"/>
    <n v="1"/>
    <n v="370"/>
    <n v="370"/>
    <s v="محل "/>
    <m/>
    <x v="35"/>
  </r>
  <r>
    <x v="5"/>
    <n v="1"/>
    <n v="200"/>
    <n v="200"/>
    <s v="محل "/>
    <m/>
    <x v="36"/>
  </r>
  <r>
    <x v="4"/>
    <n v="3"/>
    <n v="10"/>
    <n v="30"/>
    <s v="محل "/>
    <m/>
    <x v="36"/>
  </r>
  <r>
    <x v="32"/>
    <n v="2"/>
    <n v="100"/>
    <n v="200"/>
    <s v="محل "/>
    <m/>
    <x v="36"/>
  </r>
  <r>
    <x v="31"/>
    <n v="1"/>
    <n v="45"/>
    <n v="45"/>
    <s v="محل "/>
    <m/>
    <x v="37"/>
  </r>
  <r>
    <x v="7"/>
    <n v="3"/>
    <n v="15"/>
    <n v="45"/>
    <s v="محل "/>
    <m/>
    <x v="37"/>
  </r>
  <r>
    <x v="5"/>
    <n v="1"/>
    <n v="150"/>
    <n v="150"/>
    <s v="محل "/>
    <m/>
    <x v="37"/>
  </r>
  <r>
    <x v="3"/>
    <n v="1"/>
    <n v="110"/>
    <n v="110"/>
    <s v="محل "/>
    <m/>
    <x v="37"/>
  </r>
  <r>
    <x v="4"/>
    <n v="2"/>
    <n v="15"/>
    <n v="30"/>
    <s v="محل "/>
    <m/>
    <x v="37"/>
  </r>
  <r>
    <x v="4"/>
    <n v="1"/>
    <n v="20"/>
    <n v="20"/>
    <s v="محل "/>
    <m/>
    <x v="37"/>
  </r>
  <r>
    <x v="47"/>
    <n v="1"/>
    <n v="250"/>
    <n v="250"/>
    <s v="محل "/>
    <m/>
    <x v="37"/>
  </r>
  <r>
    <x v="46"/>
    <n v="1"/>
    <n v="150"/>
    <n v="150"/>
    <s v="محل "/>
    <m/>
    <x v="37"/>
  </r>
  <r>
    <x v="7"/>
    <n v="4"/>
    <n v="15"/>
    <n v="60"/>
    <s v="محل "/>
    <m/>
    <x v="37"/>
  </r>
  <r>
    <x v="14"/>
    <n v="1"/>
    <n v="450"/>
    <n v="450"/>
    <s v="محل "/>
    <m/>
    <x v="37"/>
  </r>
  <r>
    <x v="11"/>
    <n v="3"/>
    <n v="100"/>
    <n v="300"/>
    <s v="محل "/>
    <m/>
    <x v="37"/>
  </r>
  <r>
    <x v="4"/>
    <n v="1"/>
    <n v="20"/>
    <n v="20"/>
    <s v="محل "/>
    <m/>
    <x v="37"/>
  </r>
  <r>
    <x v="6"/>
    <n v="1"/>
    <n v="250"/>
    <n v="250"/>
    <s v="محل "/>
    <s v="مرتجع "/>
    <x v="37"/>
  </r>
  <r>
    <x v="5"/>
    <n v="1"/>
    <n v="200"/>
    <n v="200"/>
    <s v="محل "/>
    <m/>
    <x v="37"/>
  </r>
  <r>
    <x v="42"/>
    <n v="1"/>
    <n v="30"/>
    <n v="30"/>
    <s v="محل "/>
    <m/>
    <x v="38"/>
  </r>
  <r>
    <x v="4"/>
    <n v="1"/>
    <n v="15"/>
    <n v="15"/>
    <s v="محل "/>
    <m/>
    <x v="38"/>
  </r>
  <r>
    <x v="27"/>
    <n v="1"/>
    <n v="100"/>
    <n v="100"/>
    <s v="محل "/>
    <m/>
    <x v="38"/>
  </r>
  <r>
    <x v="32"/>
    <n v="1"/>
    <n v="100"/>
    <n v="100"/>
    <s v="محل "/>
    <m/>
    <x v="38"/>
  </r>
  <r>
    <x v="5"/>
    <n v="1"/>
    <n v="200"/>
    <n v="200"/>
    <s v="محل "/>
    <m/>
    <x v="38"/>
  </r>
  <r>
    <x v="45"/>
    <n v="1"/>
    <n v="230"/>
    <n v="230"/>
    <s v="محل "/>
    <s v="مرتجع "/>
    <x v="38"/>
  </r>
  <r>
    <x v="40"/>
    <n v="1"/>
    <n v="300"/>
    <n v="300"/>
    <s v="محل "/>
    <s v="آجل"/>
    <x v="38"/>
  </r>
  <r>
    <x v="29"/>
    <n v="1"/>
    <n v="70"/>
    <n v="70"/>
    <s v="محل "/>
    <m/>
    <x v="38"/>
  </r>
  <r>
    <x v="4"/>
    <n v="1"/>
    <n v="20"/>
    <n v="20"/>
    <s v="محل "/>
    <m/>
    <x v="38"/>
  </r>
  <r>
    <x v="15"/>
    <n v="5"/>
    <n v="1300"/>
    <n v="6500"/>
    <s v="مزرعة الطماطم"/>
    <s v="آجل"/>
    <x v="34"/>
  </r>
  <r>
    <x v="24"/>
    <n v="5"/>
    <n v="1450"/>
    <n v="7250"/>
    <s v="مزرعة الطماطم"/>
    <s v="آجل"/>
    <x v="34"/>
  </r>
  <r>
    <x v="25"/>
    <n v="5"/>
    <n v="1250"/>
    <n v="6250"/>
    <s v="مزرعة الطماطم"/>
    <s v="آجل"/>
    <x v="34"/>
  </r>
  <r>
    <x v="16"/>
    <n v="4"/>
    <n v="500"/>
    <n v="2000"/>
    <s v="مزرعة الطماطم"/>
    <s v="آجل"/>
    <x v="34"/>
  </r>
  <r>
    <x v="11"/>
    <n v="3"/>
    <n v="800"/>
    <n v="2400"/>
    <s v="مزرعة الطماطم"/>
    <s v="آجل"/>
    <x v="34"/>
  </r>
  <r>
    <x v="10"/>
    <n v="3"/>
    <n v="800"/>
    <n v="2400"/>
    <s v="مزرعة الطماطم"/>
    <s v="آجل"/>
    <x v="34"/>
  </r>
  <r>
    <x v="5"/>
    <n v="4"/>
    <n v="350"/>
    <n v="1400"/>
    <s v="مزرعة الطماطم"/>
    <s v="آجل"/>
    <x v="34"/>
  </r>
  <r>
    <x v="48"/>
    <n v="4"/>
    <n v="1450"/>
    <n v="5800"/>
    <s v="مزرعة الطماطم"/>
    <s v="آجل"/>
    <x v="34"/>
  </r>
  <r>
    <x v="24"/>
    <n v="30"/>
    <n v="1335"/>
    <n v="40050"/>
    <s v="محمد هاشم "/>
    <s v="آجل"/>
    <x v="35"/>
  </r>
  <r>
    <x v="15"/>
    <n v="30"/>
    <n v="1050"/>
    <n v="31500"/>
    <s v="محمد هاشم "/>
    <s v="آجل"/>
    <x v="35"/>
  </r>
  <r>
    <x v="41"/>
    <n v="15"/>
    <n v="1050"/>
    <n v="15750"/>
    <s v="محمد هاشم "/>
    <s v="آجل"/>
    <x v="35"/>
  </r>
  <r>
    <x v="49"/>
    <n v="14"/>
    <n v="1100"/>
    <n v="15400"/>
    <s v="محمد هاشم "/>
    <s v="آجل"/>
    <x v="35"/>
  </r>
  <r>
    <x v="48"/>
    <n v="30"/>
    <n v="1290"/>
    <n v="38700"/>
    <s v="محمد هاشم "/>
    <s v="آجل"/>
    <x v="35"/>
  </r>
  <r>
    <x v="11"/>
    <n v="10"/>
    <n v="410"/>
    <n v="4100"/>
    <s v="محمد هاشم "/>
    <s v="آجل"/>
    <x v="35"/>
  </r>
  <r>
    <x v="10"/>
    <n v="100"/>
    <n v="480"/>
    <n v="48000"/>
    <s v="محمد هاشم "/>
    <s v="آجل"/>
    <x v="35"/>
  </r>
  <r>
    <x v="14"/>
    <n v="100"/>
    <n v="480"/>
    <n v="48000"/>
    <s v="محمد هاشم "/>
    <s v="آجل"/>
    <x v="35"/>
  </r>
  <r>
    <x v="0"/>
    <n v="100"/>
    <n v="205"/>
    <n v="20500"/>
    <s v="محمد هاشم "/>
    <s v="آجل"/>
    <x v="35"/>
  </r>
  <r>
    <x v="50"/>
    <n v="24"/>
    <n v="250"/>
    <n v="6000"/>
    <s v="محمد هاشم "/>
    <s v="آجل"/>
    <x v="35"/>
  </r>
  <r>
    <x v="51"/>
    <n v="24"/>
    <n v="290"/>
    <n v="6960"/>
    <s v="محمد هاشم "/>
    <s v="آجل"/>
    <x v="35"/>
  </r>
  <r>
    <x v="2"/>
    <n v="100"/>
    <n v="60"/>
    <n v="6000"/>
    <s v="محمد هاشم "/>
    <s v="آجل"/>
    <x v="35"/>
  </r>
  <r>
    <x v="52"/>
    <n v="10"/>
    <n v="2400"/>
    <n v="24000"/>
    <s v="محمد هاشم "/>
    <s v="آجل"/>
    <x v="35"/>
  </r>
  <r>
    <x v="25"/>
    <n v="30"/>
    <n v="670"/>
    <n v="20100"/>
    <s v="محمد هاشم "/>
    <s v="آجل"/>
    <x v="35"/>
  </r>
  <r>
    <x v="35"/>
    <n v="19"/>
    <n v="1400"/>
    <n v="26600"/>
    <s v="محمد هاشم "/>
    <s v="آجل"/>
    <x v="35"/>
  </r>
  <r>
    <x v="53"/>
    <n v="80"/>
    <n v="600"/>
    <n v="48000"/>
    <s v="محمد هاشم "/>
    <s v="آجل"/>
    <x v="35"/>
  </r>
  <r>
    <x v="5"/>
    <n v="79"/>
    <n v="115"/>
    <n v="9085"/>
    <s v="محمد هاشم "/>
    <s v="آجل"/>
    <x v="35"/>
  </r>
  <r>
    <x v="30"/>
    <n v="20"/>
    <n v="230"/>
    <n v="4600"/>
    <s v="محمد هاشم "/>
    <s v="آجل"/>
    <x v="35"/>
  </r>
  <r>
    <x v="1"/>
    <n v="40"/>
    <n v="115"/>
    <n v="4600"/>
    <s v="محمد هاشم "/>
    <s v="آجل"/>
    <x v="35"/>
  </r>
  <r>
    <x v="46"/>
    <n v="40"/>
    <n v="230"/>
    <n v="9200"/>
    <s v="محمد هاشم "/>
    <s v="آجل"/>
    <x v="35"/>
  </r>
  <r>
    <x v="27"/>
    <n v="70"/>
    <n v="145"/>
    <n v="10150"/>
    <s v="محمد هاشم "/>
    <s v="آجل"/>
    <x v="35"/>
  </r>
  <r>
    <x v="22"/>
    <n v="84"/>
    <n v="160"/>
    <n v="13440"/>
    <s v="محمد هاشم "/>
    <s v="آجل"/>
    <x v="35"/>
  </r>
  <r>
    <x v="23"/>
    <n v="40"/>
    <n v="85"/>
    <n v="3400"/>
    <s v="محمد هاشم "/>
    <s v="آجل"/>
    <x v="35"/>
  </r>
  <r>
    <x v="3"/>
    <n v="180"/>
    <n v="90"/>
    <n v="16200"/>
    <s v="محمد هاشم "/>
    <s v="آجل"/>
    <x v="35"/>
  </r>
  <r>
    <x v="6"/>
    <n v="30"/>
    <n v="235"/>
    <n v="7050"/>
    <s v="محمد هاشم "/>
    <s v="آجل"/>
    <x v="35"/>
  </r>
  <r>
    <x v="12"/>
    <n v="30"/>
    <n v="230"/>
    <n v="6900"/>
    <s v="محمد هاشم "/>
    <s v="آجل"/>
    <x v="35"/>
  </r>
  <r>
    <x v="36"/>
    <n v="47"/>
    <n v="605"/>
    <n v="28435"/>
    <s v="محمد هاشم "/>
    <s v="آجل"/>
    <x v="35"/>
  </r>
  <r>
    <x v="38"/>
    <n v="19"/>
    <n v="400"/>
    <n v="7600"/>
    <s v="محمد هاشم "/>
    <s v="آجل"/>
    <x v="35"/>
  </r>
  <r>
    <x v="54"/>
    <n v="12"/>
    <n v="500"/>
    <n v="6000"/>
    <s v="محمد هاشم "/>
    <s v="آجل"/>
    <x v="35"/>
  </r>
  <r>
    <x v="55"/>
    <n v="20"/>
    <n v="500"/>
    <n v="10000"/>
    <s v="محمد هاشم "/>
    <s v="آجل"/>
    <x v="35"/>
  </r>
  <r>
    <x v="56"/>
    <n v="40"/>
    <n v="400"/>
    <n v="16000"/>
    <s v="محمد هاشم "/>
    <s v="آجل"/>
    <x v="35"/>
  </r>
  <r>
    <x v="19"/>
    <n v="12"/>
    <n v="185"/>
    <n v="2220"/>
    <s v="محمد هاشم "/>
    <s v="آجل"/>
    <x v="35"/>
  </r>
  <r>
    <x v="57"/>
    <n v="40"/>
    <n v="95"/>
    <n v="3800"/>
    <s v="محمد هاشم "/>
    <s v="آجل"/>
    <x v="35"/>
  </r>
  <r>
    <x v="13"/>
    <n v="24"/>
    <n v="800"/>
    <n v="19200"/>
    <s v="محمد هاشم "/>
    <s v="آجل"/>
    <x v="35"/>
  </r>
  <r>
    <x v="21"/>
    <n v="36"/>
    <n v="195"/>
    <n v="7020"/>
    <s v="محمد هاشم "/>
    <s v="آجل"/>
    <x v="35"/>
  </r>
  <r>
    <x v="18"/>
    <n v="36"/>
    <n v="270"/>
    <n v="9720"/>
    <s v="محمد هاشم "/>
    <s v="آجل"/>
    <x v="35"/>
  </r>
  <r>
    <x v="58"/>
    <n v="24"/>
    <n v="220"/>
    <n v="5280"/>
    <s v="محمد هاشم "/>
    <s v="آجل"/>
    <x v="35"/>
  </r>
  <r>
    <x v="20"/>
    <n v="36"/>
    <n v="190"/>
    <n v="6840"/>
    <s v="محمد هاشم "/>
    <s v="آجل"/>
    <x v="35"/>
  </r>
  <r>
    <x v="40"/>
    <n v="24"/>
    <n v="210"/>
    <n v="5040"/>
    <s v="محمد هاشم "/>
    <s v="آجل"/>
    <x v="35"/>
  </r>
  <r>
    <x v="37"/>
    <n v="24"/>
    <n v="250"/>
    <n v="6000"/>
    <s v="محمد هاشم "/>
    <s v="آجل"/>
    <x v="35"/>
  </r>
  <r>
    <x v="59"/>
    <n v="36"/>
    <n v="250"/>
    <n v="9000"/>
    <s v="محمد هاشم "/>
    <s v="آجل"/>
    <x v="35"/>
  </r>
  <r>
    <x v="11"/>
    <n v="0.5"/>
    <n v="100"/>
    <n v="50"/>
    <s v="محل "/>
    <m/>
    <x v="39"/>
  </r>
  <r>
    <x v="10"/>
    <n v="0.5"/>
    <n v="100"/>
    <n v="50"/>
    <s v="محل "/>
    <m/>
    <x v="39"/>
  </r>
  <r>
    <x v="27"/>
    <n v="1"/>
    <n v="100"/>
    <n v="100"/>
    <s v="محل "/>
    <m/>
    <x v="39"/>
  </r>
  <r>
    <x v="32"/>
    <n v="1"/>
    <n v="100"/>
    <n v="100"/>
    <s v="محل "/>
    <m/>
    <x v="39"/>
  </r>
  <r>
    <x v="33"/>
    <n v="1"/>
    <n v="100"/>
    <n v="100"/>
    <s v="محل "/>
    <m/>
    <x v="39"/>
  </r>
  <r>
    <x v="2"/>
    <n v="1"/>
    <n v="100"/>
    <n v="100"/>
    <s v="محل "/>
    <m/>
    <x v="39"/>
  </r>
  <r>
    <x v="33"/>
    <n v="1"/>
    <n v="100"/>
    <n v="100"/>
    <s v="محل "/>
    <m/>
    <x v="39"/>
  </r>
  <r>
    <x v="28"/>
    <n v="1"/>
    <n v="100"/>
    <n v="100"/>
    <s v="محل "/>
    <m/>
    <x v="39"/>
  </r>
  <r>
    <x v="22"/>
    <n v="2"/>
    <n v="300"/>
    <n v="600"/>
    <s v="مزرعة الطماطم"/>
    <s v="آجل"/>
    <x v="39"/>
  </r>
  <r>
    <x v="0"/>
    <n v="1"/>
    <n v="550"/>
    <n v="550"/>
    <s v="مزرعة الطماطم"/>
    <s v="آجل"/>
    <x v="39"/>
  </r>
  <r>
    <x v="2"/>
    <n v="8"/>
    <n v="200"/>
    <n v="1600"/>
    <s v="مزرعة الطماطم"/>
    <s v="آجل"/>
    <x v="39"/>
  </r>
  <r>
    <x v="43"/>
    <n v="1"/>
    <n v="1700"/>
    <n v="1700"/>
    <s v="مزرعة الطماطم"/>
    <s v="آجل"/>
    <x v="39"/>
  </r>
  <r>
    <x v="11"/>
    <n v="1"/>
    <n v="100"/>
    <n v="100"/>
    <s v="محل "/>
    <m/>
    <x v="40"/>
  </r>
  <r>
    <x v="5"/>
    <n v="1"/>
    <n v="150"/>
    <n v="150"/>
    <s v="محل "/>
    <m/>
    <x v="40"/>
  </r>
  <r>
    <x v="32"/>
    <n v="1"/>
    <n v="70"/>
    <n v="70"/>
    <s v="محل "/>
    <m/>
    <x v="41"/>
  </r>
  <r>
    <x v="33"/>
    <n v="1"/>
    <n v="100"/>
    <n v="100"/>
    <s v="محل "/>
    <m/>
    <x v="42"/>
  </r>
  <r>
    <x v="28"/>
    <n v="1"/>
    <n v="100"/>
    <n v="100"/>
    <s v="محل "/>
    <m/>
    <x v="42"/>
  </r>
  <r>
    <x v="60"/>
    <n v="1"/>
    <n v="120"/>
    <n v="120"/>
    <s v="محل "/>
    <m/>
    <x v="42"/>
  </r>
  <r>
    <x v="11"/>
    <n v="1"/>
    <n v="100"/>
    <n v="100"/>
    <s v="محل "/>
    <m/>
    <x v="42"/>
  </r>
  <r>
    <x v="7"/>
    <n v="1"/>
    <n v="25"/>
    <n v="25"/>
    <s v="محل "/>
    <m/>
    <x v="42"/>
  </r>
  <r>
    <x v="11"/>
    <n v="1"/>
    <n v="100"/>
    <n v="100"/>
    <s v="محل "/>
    <m/>
    <x v="42"/>
  </r>
  <r>
    <x v="44"/>
    <n v="1"/>
    <n v="120"/>
    <n v="120"/>
    <s v="محل "/>
    <m/>
    <x v="42"/>
  </r>
  <r>
    <x v="5"/>
    <n v="1"/>
    <n v="200"/>
    <n v="200"/>
    <s v="محل "/>
    <m/>
    <x v="42"/>
  </r>
  <r>
    <x v="7"/>
    <n v="20"/>
    <n v="15"/>
    <n v="300"/>
    <s v="محل "/>
    <m/>
    <x v="42"/>
  </r>
  <r>
    <x v="1"/>
    <n v="1"/>
    <n v="100"/>
    <n v="100"/>
    <s v="محل "/>
    <m/>
    <x v="42"/>
  </r>
  <r>
    <x v="20"/>
    <n v="5"/>
    <n v="500"/>
    <n v="2500"/>
    <s v="مزرعة الطماطم"/>
    <s v="آجل"/>
    <x v="43"/>
  </r>
  <r>
    <x v="44"/>
    <n v="4"/>
    <n v="350"/>
    <n v="1400"/>
    <s v="مزرعة الطماطم"/>
    <s v="آجل"/>
    <x v="43"/>
  </r>
  <r>
    <x v="11"/>
    <n v="2"/>
    <n v="160"/>
    <n v="320"/>
    <s v="مزرعة الطماطم"/>
    <s v="آجل"/>
    <x v="43"/>
  </r>
  <r>
    <x v="15"/>
    <n v="2"/>
    <n v="1300"/>
    <n v="2600"/>
    <s v="مزرعة الطماطم"/>
    <s v="آجل"/>
    <x v="43"/>
  </r>
  <r>
    <x v="60"/>
    <n v="2"/>
    <n v="200"/>
    <n v="400"/>
    <s v="مزرعة الطماطم"/>
    <s v="آجل"/>
    <x v="43"/>
  </r>
  <r>
    <x v="43"/>
    <n v="2"/>
    <n v="1700"/>
    <n v="3400"/>
    <s v="مزرعة الطماطم"/>
    <s v="آجل"/>
    <x v="43"/>
  </r>
  <r>
    <x v="37"/>
    <n v="3"/>
    <n v="500"/>
    <n v="1500"/>
    <s v="مزرعة الطماطم"/>
    <s v="آجل"/>
    <x v="43"/>
  </r>
  <r>
    <x v="5"/>
    <n v="1"/>
    <n v="150"/>
    <n v="150"/>
    <s v="محل "/>
    <m/>
    <x v="43"/>
  </r>
  <r>
    <x v="1"/>
    <n v="1"/>
    <n v="150"/>
    <n v="150"/>
    <s v="محل "/>
    <m/>
    <x v="44"/>
  </r>
  <r>
    <x v="1"/>
    <n v="1"/>
    <n v="120"/>
    <n v="120"/>
    <s v="محل "/>
    <m/>
    <x v="44"/>
  </r>
  <r>
    <x v="61"/>
    <n v="1"/>
    <n v="250"/>
    <n v="250"/>
    <s v="محل "/>
    <m/>
    <x v="44"/>
  </r>
  <r>
    <x v="1"/>
    <n v="1"/>
    <n v="150"/>
    <n v="150"/>
    <s v="محل "/>
    <m/>
    <x v="44"/>
  </r>
  <r>
    <x v="5"/>
    <n v="1"/>
    <n v="150"/>
    <n v="150"/>
    <s v="محل "/>
    <m/>
    <x v="44"/>
  </r>
  <r>
    <x v="60"/>
    <n v="1"/>
    <n v="150"/>
    <n v="150"/>
    <s v="محل "/>
    <m/>
    <x v="44"/>
  </r>
  <r>
    <x v="26"/>
    <n v="1"/>
    <n v="350"/>
    <n v="350"/>
    <s v="محل "/>
    <m/>
    <x v="44"/>
  </r>
  <r>
    <x v="11"/>
    <n v="1"/>
    <n v="80"/>
    <n v="80"/>
    <s v="محل "/>
    <m/>
    <x v="44"/>
  </r>
  <r>
    <x v="10"/>
    <n v="2"/>
    <n v="80"/>
    <n v="160"/>
    <s v="محل "/>
    <m/>
    <x v="44"/>
  </r>
  <r>
    <x v="7"/>
    <n v="1"/>
    <n v="10"/>
    <n v="10"/>
    <s v="محل "/>
    <m/>
    <x v="45"/>
  </r>
  <r>
    <x v="8"/>
    <n v="1"/>
    <n v="40"/>
    <n v="40"/>
    <s v="محل "/>
    <m/>
    <x v="45"/>
  </r>
  <r>
    <x v="30"/>
    <n v="1"/>
    <n v="380"/>
    <n v="380"/>
    <s v="محل "/>
    <m/>
    <x v="45"/>
  </r>
  <r>
    <x v="31"/>
    <n v="1"/>
    <n v="45"/>
    <n v="45"/>
    <s v="محل "/>
    <m/>
    <x v="45"/>
  </r>
  <r>
    <x v="1"/>
    <n v="1"/>
    <n v="120"/>
    <n v="120"/>
    <s v="محل "/>
    <m/>
    <x v="45"/>
  </r>
  <r>
    <x v="39"/>
    <n v="2"/>
    <n v="55"/>
    <n v="110"/>
    <s v="محل "/>
    <s v="آجل"/>
    <x v="45"/>
  </r>
  <r>
    <x v="33"/>
    <n v="1"/>
    <n v="150"/>
    <n v="150"/>
    <s v="محل "/>
    <s v="آجل"/>
    <x v="45"/>
  </r>
  <r>
    <x v="23"/>
    <n v="1"/>
    <n v="100"/>
    <n v="100"/>
    <s v="محل "/>
    <m/>
    <x v="45"/>
  </r>
  <r>
    <x v="27"/>
    <n v="1"/>
    <n v="100"/>
    <n v="100"/>
    <s v="محل "/>
    <m/>
    <x v="45"/>
  </r>
  <r>
    <x v="24"/>
    <n v="4"/>
    <n v="1450"/>
    <n v="5800"/>
    <s v="مزرعة الطماطم"/>
    <m/>
    <x v="45"/>
  </r>
  <r>
    <x v="15"/>
    <n v="4"/>
    <n v="1300"/>
    <n v="5200"/>
    <s v="مزرعة الطماطم"/>
    <m/>
    <x v="45"/>
  </r>
  <r>
    <x v="25"/>
    <n v="6"/>
    <n v="1250"/>
    <n v="7500"/>
    <s v="مزرعة الطماطم"/>
    <m/>
    <x v="45"/>
  </r>
  <r>
    <x v="43"/>
    <n v="4"/>
    <n v="1700"/>
    <n v="6800"/>
    <s v="مزرعة الطماطم"/>
    <m/>
    <x v="45"/>
  </r>
  <r>
    <x v="62"/>
    <n v="2"/>
    <n v="550"/>
    <n v="1100"/>
    <s v="مزرعة الطماطم"/>
    <m/>
    <x v="45"/>
  </r>
  <r>
    <x v="63"/>
    <n v="3"/>
    <n v="550"/>
    <n v="1650"/>
    <s v="مزرعة الطماطم"/>
    <m/>
    <x v="45"/>
  </r>
  <r>
    <x v="22"/>
    <n v="1"/>
    <n v="300"/>
    <n v="300"/>
    <s v="مزرعة الطماطم"/>
    <m/>
    <x v="45"/>
  </r>
  <r>
    <x v="5"/>
    <n v="1"/>
    <n v="380"/>
    <n v="380"/>
    <s v="مزرعة الطماطم"/>
    <m/>
    <x v="45"/>
  </r>
  <r>
    <x v="40"/>
    <n v="1"/>
    <n v="250"/>
    <n v="250"/>
    <s v="محل "/>
    <m/>
    <x v="46"/>
  </r>
  <r>
    <x v="5"/>
    <n v="1"/>
    <n v="200"/>
    <n v="200"/>
    <s v="محل "/>
    <m/>
    <x v="46"/>
  </r>
  <r>
    <x v="30"/>
    <n v="1"/>
    <n v="300"/>
    <n v="300"/>
    <s v="محل "/>
    <m/>
    <x v="46"/>
  </r>
  <r>
    <x v="35"/>
    <n v="1"/>
    <n v="350"/>
    <n v="350"/>
    <s v="محل "/>
    <m/>
    <x v="46"/>
  </r>
  <r>
    <x v="51"/>
    <n v="1"/>
    <n v="250"/>
    <n v="250"/>
    <s v="محل "/>
    <m/>
    <x v="46"/>
  </r>
  <r>
    <x v="64"/>
    <n v="6"/>
    <n v="20"/>
    <n v="120"/>
    <s v="محل "/>
    <m/>
    <x v="46"/>
  </r>
  <r>
    <x v="30"/>
    <n v="4"/>
    <n v="400"/>
    <n v="1600"/>
    <s v="ارض الحرجاوية "/>
    <s v="آجل"/>
    <x v="46"/>
  </r>
  <r>
    <x v="18"/>
    <n v="4"/>
    <n v="400"/>
    <n v="1600"/>
    <s v="ارض الحرجاوية "/>
    <s v="آجل"/>
    <x v="46"/>
  </r>
  <r>
    <x v="29"/>
    <n v="8"/>
    <n v="50"/>
    <n v="400"/>
    <s v="ارض الحرجاوية "/>
    <s v="آجل"/>
    <x v="46"/>
  </r>
  <r>
    <x v="31"/>
    <n v="10"/>
    <n v="40"/>
    <n v="400"/>
    <s v="ارض الحرجاوية "/>
    <s v="آجل"/>
    <x v="46"/>
  </r>
  <r>
    <x v="3"/>
    <n v="4"/>
    <n v="130"/>
    <n v="520"/>
    <s v="ارض الحرجاوية "/>
    <s v="آجل"/>
    <x v="46"/>
  </r>
  <r>
    <x v="1"/>
    <n v="1"/>
    <n v="100"/>
    <n v="100"/>
    <s v="محل "/>
    <m/>
    <x v="46"/>
  </r>
  <r>
    <x v="4"/>
    <n v="2"/>
    <n v="15"/>
    <n v="30"/>
    <s v="محل "/>
    <m/>
    <x v="47"/>
  </r>
  <r>
    <x v="16"/>
    <n v="100"/>
    <n v="425"/>
    <n v="42500"/>
    <s v="محمد هاشم "/>
    <s v="آجل"/>
    <x v="47"/>
  </r>
  <r>
    <x v="53"/>
    <n v="100"/>
    <n v="600"/>
    <n v="60000"/>
    <s v="محمد هاشم "/>
    <s v="آجل"/>
    <x v="47"/>
  </r>
  <r>
    <x v="41"/>
    <n v="25"/>
    <n v="1050"/>
    <n v="26250"/>
    <s v="محمد هاشم "/>
    <s v="آجل"/>
    <x v="47"/>
  </r>
  <r>
    <x v="10"/>
    <n v="30"/>
    <n v="480"/>
    <n v="14400"/>
    <s v="محمد هاشم "/>
    <s v="آجل"/>
    <x v="47"/>
  </r>
  <r>
    <x v="63"/>
    <n v="48"/>
    <n v="370"/>
    <n v="17760"/>
    <s v="محمد هاشم "/>
    <s v="آجل"/>
    <x v="47"/>
  </r>
  <r>
    <x v="48"/>
    <n v="60"/>
    <n v="370"/>
    <n v="22200"/>
    <s v="محمد هاشم "/>
    <s v="آجل"/>
    <x v="47"/>
  </r>
  <r>
    <x v="65"/>
    <n v="60"/>
    <n v="220"/>
    <n v="13200"/>
    <s v="محمد هاشم "/>
    <s v="آجل"/>
    <x v="47"/>
  </r>
  <r>
    <x v="66"/>
    <n v="120"/>
    <n v="215"/>
    <n v="25800"/>
    <s v="محمد هاشم "/>
    <s v="آجل"/>
    <x v="47"/>
  </r>
  <r>
    <x v="15"/>
    <n v="30"/>
    <n v="1050"/>
    <n v="31500"/>
    <s v="محمد هاشم "/>
    <s v="آجل"/>
    <x v="47"/>
  </r>
  <r>
    <x v="48"/>
    <n v="16"/>
    <n v="1290"/>
    <n v="20640"/>
    <s v="محمد هاشم "/>
    <s v="آجل"/>
    <x v="47"/>
  </r>
  <r>
    <x v="2"/>
    <n v="280"/>
    <n v="60"/>
    <n v="16800"/>
    <s v="محمد هاشم "/>
    <s v="آجل"/>
    <x v="47"/>
  </r>
  <r>
    <x v="57"/>
    <n v="20"/>
    <n v="220"/>
    <n v="4400"/>
    <s v="محمد هاشم "/>
    <s v="آجل"/>
    <x v="47"/>
  </r>
  <r>
    <x v="58"/>
    <n v="12"/>
    <n v="220"/>
    <n v="2640"/>
    <s v="محمد هاشم "/>
    <s v="آجل"/>
    <x v="47"/>
  </r>
  <r>
    <x v="56"/>
    <n v="40"/>
    <n v="400"/>
    <n v="16000"/>
    <s v="محمد هاشم "/>
    <s v="آجل"/>
    <x v="47"/>
  </r>
  <r>
    <x v="18"/>
    <n v="12"/>
    <n v="270"/>
    <n v="3240"/>
    <s v="محمد هاشم "/>
    <s v="آجل"/>
    <x v="47"/>
  </r>
  <r>
    <x v="47"/>
    <n v="12"/>
    <n v="190"/>
    <n v="2280"/>
    <s v="محمد هاشم "/>
    <s v="آجل"/>
    <x v="47"/>
  </r>
  <r>
    <x v="40"/>
    <n v="12"/>
    <n v="210"/>
    <n v="2520"/>
    <s v="محمد هاشم "/>
    <s v="آجل"/>
    <x v="47"/>
  </r>
  <r>
    <x v="23"/>
    <n v="260"/>
    <n v="85"/>
    <n v="22100"/>
    <s v="محمد هاشم "/>
    <s v="آجل"/>
    <x v="47"/>
  </r>
  <r>
    <x v="55"/>
    <n v="16"/>
    <n v="500"/>
    <n v="8000"/>
    <s v="محمد هاشم "/>
    <s v="آجل"/>
    <x v="47"/>
  </r>
  <r>
    <x v="13"/>
    <n v="24"/>
    <n v="800"/>
    <n v="19200"/>
    <s v="محمد هاشم "/>
    <s v="آجل"/>
    <x v="47"/>
  </r>
  <r>
    <x v="37"/>
    <n v="24"/>
    <n v="250"/>
    <n v="6000"/>
    <s v="محمد هاشم "/>
    <s v="آجل"/>
    <x v="47"/>
  </r>
  <r>
    <x v="67"/>
    <n v="48"/>
    <n v="450"/>
    <n v="21600"/>
    <s v="محمد هاشم "/>
    <s v="آجل"/>
    <x v="47"/>
  </r>
  <r>
    <x v="1"/>
    <n v="100"/>
    <n v="115"/>
    <n v="11500"/>
    <s v="محمد هاشم "/>
    <s v="آجل"/>
    <x v="47"/>
  </r>
  <r>
    <x v="59"/>
    <n v="36"/>
    <n v="250"/>
    <n v="9000"/>
    <s v="محمد هاشم "/>
    <s v="آجل"/>
    <x v="47"/>
  </r>
  <r>
    <x v="12"/>
    <n v="22"/>
    <n v="230"/>
    <n v="5060"/>
    <s v="محمد هاشم "/>
    <s v="آجل"/>
    <x v="47"/>
  </r>
  <r>
    <x v="20"/>
    <n v="60"/>
    <n v="190"/>
    <n v="11400"/>
    <s v="محمد هاشم "/>
    <s v="آجل"/>
    <x v="47"/>
  </r>
  <r>
    <x v="68"/>
    <n v="30"/>
    <n v="155"/>
    <n v="4650"/>
    <s v="محمد هاشم "/>
    <s v="آجل"/>
    <x v="47"/>
  </r>
  <r>
    <x v="69"/>
    <n v="24"/>
    <n v="287"/>
    <n v="6888"/>
    <s v="محمد هاشم "/>
    <s v="آجل"/>
    <x v="47"/>
  </r>
  <r>
    <x v="70"/>
    <n v="30"/>
    <n v="150"/>
    <n v="4500"/>
    <s v="محمد هاشم "/>
    <s v="آجل"/>
    <x v="47"/>
  </r>
  <r>
    <x v="71"/>
    <n v="24"/>
    <n v="275"/>
    <n v="6600"/>
    <s v="محمد هاشم "/>
    <s v="آجل"/>
    <x v="47"/>
  </r>
  <r>
    <x v="72"/>
    <n v="24"/>
    <n v="155"/>
    <n v="3720"/>
    <s v="محمد هاشم "/>
    <s v="آجل"/>
    <x v="47"/>
  </r>
  <r>
    <x v="73"/>
    <n v="24"/>
    <n v="245"/>
    <n v="5880"/>
    <s v="محمد هاشم "/>
    <s v="آجل"/>
    <x v="47"/>
  </r>
  <r>
    <x v="74"/>
    <n v="12"/>
    <n v="400"/>
    <n v="4800"/>
    <s v="محمد هاشم "/>
    <s v="آجل"/>
    <x v="47"/>
  </r>
  <r>
    <x v="75"/>
    <n v="24"/>
    <n v="150"/>
    <n v="3600"/>
    <s v="محمد هاشم "/>
    <s v="آجل"/>
    <x v="47"/>
  </r>
  <r>
    <x v="76"/>
    <n v="12"/>
    <n v="240"/>
    <n v="2880"/>
    <s v="محمد هاشم "/>
    <s v="آجل"/>
    <x v="47"/>
  </r>
  <r>
    <x v="60"/>
    <n v="30"/>
    <n v="175"/>
    <n v="5250"/>
    <s v="محمد هاشم "/>
    <s v="آجل"/>
    <x v="47"/>
  </r>
  <r>
    <x v="77"/>
    <n v="36"/>
    <n v="225"/>
    <n v="8100"/>
    <s v="محمد هاشم "/>
    <s v="آجل"/>
    <x v="47"/>
  </r>
  <r>
    <x v="24"/>
    <n v="23"/>
    <n v="1335"/>
    <n v="30705"/>
    <s v="محمد هاشم "/>
    <s v="آجل"/>
    <x v="47"/>
  </r>
  <r>
    <x v="15"/>
    <n v="31"/>
    <n v="1050"/>
    <n v="32550"/>
    <s v="محمد هاشم "/>
    <s v="آجل"/>
    <x v="47"/>
  </r>
  <r>
    <x v="78"/>
    <n v="20"/>
    <n v="370"/>
    <n v="7400"/>
    <s v="محمد هاشم "/>
    <s v="آجل"/>
    <x v="47"/>
  </r>
  <r>
    <x v="14"/>
    <n v="28"/>
    <n v="320"/>
    <n v="8960"/>
    <s v="محمد هاشم "/>
    <s v="آجل"/>
    <x v="47"/>
  </r>
  <r>
    <x v="79"/>
    <n v="60"/>
    <n v="245"/>
    <n v="14700"/>
    <s v="محمد هاشم "/>
    <s v="آجل"/>
    <x v="47"/>
  </r>
  <r>
    <x v="21"/>
    <n v="12"/>
    <n v="195"/>
    <n v="2340"/>
    <s v="محمد هاشم "/>
    <s v="آجل"/>
    <x v="47"/>
  </r>
  <r>
    <x v="58"/>
    <n v="36"/>
    <n v="220"/>
    <n v="7920"/>
    <s v="محمد هاشم "/>
    <s v="آجل"/>
    <x v="47"/>
  </r>
  <r>
    <x v="80"/>
    <n v="47"/>
    <n v="190"/>
    <n v="8930"/>
    <s v="محمد هاشم "/>
    <s v="آجل"/>
    <x v="47"/>
  </r>
  <r>
    <x v="20"/>
    <n v="60"/>
    <n v="190"/>
    <n v="11400"/>
    <s v="محمد هاشم "/>
    <s v="آجل"/>
    <x v="47"/>
  </r>
  <r>
    <x v="13"/>
    <n v="24"/>
    <n v="800"/>
    <n v="19200"/>
    <s v="محمد هاشم "/>
    <s v="آجل"/>
    <x v="47"/>
  </r>
  <r>
    <x v="66"/>
    <n v="36"/>
    <n v="215"/>
    <n v="7740"/>
    <s v="محمد هاشم "/>
    <s v="آجل"/>
    <x v="47"/>
  </r>
  <r>
    <x v="51"/>
    <n v="84"/>
    <n v="290"/>
    <n v="24360"/>
    <s v="محمد هاشم "/>
    <s v="آجل"/>
    <x v="47"/>
  </r>
  <r>
    <x v="22"/>
    <n v="126"/>
    <n v="160"/>
    <n v="20160"/>
    <s v="محمد هاشم "/>
    <s v="آجل"/>
    <x v="47"/>
  </r>
  <r>
    <x v="5"/>
    <n v="20"/>
    <n v="115"/>
    <n v="2300"/>
    <s v="محمد هاشم "/>
    <s v="آجل"/>
    <x v="47"/>
  </r>
  <r>
    <x v="46"/>
    <n v="60"/>
    <n v="230"/>
    <n v="13800"/>
    <s v="محمد هاشم "/>
    <s v="آجل"/>
    <x v="47"/>
  </r>
  <r>
    <x v="81"/>
    <n v="60"/>
    <n v="190"/>
    <n v="11400"/>
    <s v="محمد هاشم "/>
    <s v="آجل"/>
    <x v="47"/>
  </r>
  <r>
    <x v="82"/>
    <n v="36"/>
    <n v="195"/>
    <n v="7020"/>
    <s v="محمد هاشم "/>
    <s v="آجل"/>
    <x v="47"/>
  </r>
  <r>
    <x v="45"/>
    <n v="60"/>
    <n v="175"/>
    <n v="10500"/>
    <s v="محمد هاشم "/>
    <s v="آجل"/>
    <x v="47"/>
  </r>
  <r>
    <x v="5"/>
    <n v="1"/>
    <n v="170"/>
    <n v="170"/>
    <s v="محل "/>
    <m/>
    <x v="47"/>
  </r>
  <r>
    <x v="30"/>
    <n v="4"/>
    <n v="250"/>
    <n v="1000"/>
    <s v="محل "/>
    <m/>
    <x v="48"/>
  </r>
  <r>
    <x v="1"/>
    <n v="1"/>
    <n v="100"/>
    <n v="100"/>
    <s v="محل "/>
    <m/>
    <x v="48"/>
  </r>
  <r>
    <x v="33"/>
    <n v="1"/>
    <n v="130"/>
    <n v="130"/>
    <s v="محل "/>
    <m/>
    <x v="48"/>
  </r>
  <r>
    <x v="1"/>
    <n v="12"/>
    <n v="150"/>
    <n v="1800"/>
    <s v="محل "/>
    <m/>
    <x v="48"/>
  </r>
  <r>
    <x v="35"/>
    <n v="0.5"/>
    <n v="1800"/>
    <n v="900"/>
    <s v="محل "/>
    <m/>
    <x v="48"/>
  </r>
  <r>
    <x v="26"/>
    <n v="1"/>
    <n v="450"/>
    <n v="450"/>
    <s v="محل "/>
    <m/>
    <x v="48"/>
  </r>
  <r>
    <x v="7"/>
    <n v="1"/>
    <n v="15"/>
    <n v="15"/>
    <s v="محل "/>
    <m/>
    <x v="48"/>
  </r>
  <r>
    <x v="4"/>
    <n v="1"/>
    <n v="15"/>
    <n v="15"/>
    <s v="محل "/>
    <m/>
    <x v="49"/>
  </r>
  <r>
    <x v="1"/>
    <n v="1"/>
    <n v="100"/>
    <n v="100"/>
    <s v="محل "/>
    <m/>
    <x v="49"/>
  </r>
  <r>
    <x v="1"/>
    <n v="1"/>
    <n v="150"/>
    <n v="150"/>
    <s v="محل "/>
    <m/>
    <x v="49"/>
  </r>
  <r>
    <x v="7"/>
    <n v="3"/>
    <n v="15"/>
    <n v="45"/>
    <s v="محل "/>
    <m/>
    <x v="49"/>
  </r>
  <r>
    <x v="5"/>
    <n v="1"/>
    <n v="200"/>
    <n v="200"/>
    <s v="محل "/>
    <m/>
    <x v="49"/>
  </r>
  <r>
    <x v="60"/>
    <n v="2"/>
    <n v="130"/>
    <n v="260"/>
    <s v="محل "/>
    <m/>
    <x v="50"/>
  </r>
  <r>
    <x v="1"/>
    <n v="1"/>
    <n v="130"/>
    <n v="130"/>
    <s v="محل "/>
    <m/>
    <x v="50"/>
  </r>
  <r>
    <x v="4"/>
    <n v="4"/>
    <n v="15"/>
    <n v="60"/>
    <s v="محل "/>
    <m/>
    <x v="50"/>
  </r>
  <r>
    <x v="7"/>
    <n v="2"/>
    <n v="15"/>
    <n v="30"/>
    <s v="محل "/>
    <m/>
    <x v="50"/>
  </r>
  <r>
    <x v="1"/>
    <n v="1"/>
    <n v="150"/>
    <n v="150"/>
    <s v="محل "/>
    <m/>
    <x v="51"/>
  </r>
  <r>
    <x v="39"/>
    <n v="1"/>
    <n v="65"/>
    <n v="65"/>
    <s v="محل "/>
    <m/>
    <x v="51"/>
  </r>
  <r>
    <x v="44"/>
    <n v="2"/>
    <n v="220"/>
    <n v="440"/>
    <s v="محل "/>
    <m/>
    <x v="51"/>
  </r>
  <r>
    <x v="1"/>
    <n v="1"/>
    <n v="120"/>
    <n v="120"/>
    <s v="محل "/>
    <m/>
    <x v="51"/>
  </r>
  <r>
    <x v="4"/>
    <n v="1"/>
    <n v="15"/>
    <n v="15"/>
    <s v="محل "/>
    <m/>
    <x v="51"/>
  </r>
  <r>
    <x v="46"/>
    <n v="1"/>
    <n v="150"/>
    <n v="150"/>
    <s v="محل "/>
    <m/>
    <x v="51"/>
  </r>
  <r>
    <x v="3"/>
    <n v="8"/>
    <n v="200"/>
    <n v="1600"/>
    <s v="مزرعة الطماطم"/>
    <s v="آجل"/>
    <x v="51"/>
  </r>
  <r>
    <x v="46"/>
    <n v="2"/>
    <n v="250"/>
    <n v="500"/>
    <s v="مزرعة الطماطم"/>
    <s v="آجل"/>
    <x v="51"/>
  </r>
  <r>
    <x v="83"/>
    <n v="2"/>
    <n v="350"/>
    <n v="700"/>
    <s v="مزرعة الطماطم"/>
    <s v="آجل"/>
    <x v="51"/>
  </r>
  <r>
    <x v="10"/>
    <n v="1"/>
    <n v="400"/>
    <n v="400"/>
    <s v="محل "/>
    <m/>
    <x v="52"/>
  </r>
  <r>
    <x v="10"/>
    <n v="1"/>
    <n v="80"/>
    <n v="80"/>
    <s v="محل "/>
    <m/>
    <x v="52"/>
  </r>
  <r>
    <x v="11"/>
    <n v="2"/>
    <n v="80"/>
    <n v="160"/>
    <s v="محل "/>
    <m/>
    <x v="52"/>
  </r>
  <r>
    <x v="1"/>
    <n v="1"/>
    <n v="100"/>
    <n v="100"/>
    <s v="محل "/>
    <m/>
    <x v="52"/>
  </r>
  <r>
    <x v="46"/>
    <n v="2"/>
    <n v="150"/>
    <n v="300"/>
    <s v="محل "/>
    <m/>
    <x v="52"/>
  </r>
  <r>
    <x v="7"/>
    <n v="1"/>
    <n v="15"/>
    <n v="15"/>
    <s v="محل "/>
    <m/>
    <x v="52"/>
  </r>
  <r>
    <x v="10"/>
    <n v="2"/>
    <n v="90"/>
    <n v="180"/>
    <s v="محل "/>
    <m/>
    <x v="53"/>
  </r>
  <r>
    <x v="28"/>
    <n v="1"/>
    <n v="120"/>
    <n v="120"/>
    <s v="محل "/>
    <m/>
    <x v="53"/>
  </r>
  <r>
    <x v="60"/>
    <n v="1"/>
    <n v="160"/>
    <n v="160"/>
    <s v="محل "/>
    <m/>
    <x v="53"/>
  </r>
  <r>
    <x v="3"/>
    <n v="1"/>
    <n v="150"/>
    <n v="150"/>
    <s v="محل "/>
    <m/>
    <x v="53"/>
  </r>
  <r>
    <x v="60"/>
    <n v="1"/>
    <n v="150"/>
    <n v="150"/>
    <s v="محل "/>
    <m/>
    <x v="53"/>
  </r>
  <r>
    <x v="28"/>
    <n v="1"/>
    <n v="100"/>
    <n v="100"/>
    <s v="محل "/>
    <m/>
    <x v="53"/>
  </r>
  <r>
    <x v="46"/>
    <n v="1"/>
    <n v="280"/>
    <n v="280"/>
    <s v="محل "/>
    <m/>
    <x v="53"/>
  </r>
  <r>
    <x v="1"/>
    <n v="1"/>
    <n v="100"/>
    <n v="100"/>
    <s v="محل "/>
    <m/>
    <x v="53"/>
  </r>
  <r>
    <x v="7"/>
    <n v="2"/>
    <n v="15"/>
    <n v="30"/>
    <s v="محل "/>
    <m/>
    <x v="53"/>
  </r>
  <r>
    <x v="4"/>
    <n v="1"/>
    <n v="15"/>
    <n v="15"/>
    <s v="محل "/>
    <m/>
    <x v="54"/>
  </r>
  <r>
    <x v="34"/>
    <n v="1"/>
    <n v="90"/>
    <n v="90"/>
    <s v="محل "/>
    <m/>
    <x v="54"/>
  </r>
  <r>
    <x v="32"/>
    <n v="1"/>
    <n v="100"/>
    <n v="100"/>
    <s v="محل "/>
    <m/>
    <x v="54"/>
  </r>
  <r>
    <x v="31"/>
    <n v="1"/>
    <n v="80"/>
    <n v="80"/>
    <s v="محل "/>
    <m/>
    <x v="54"/>
  </r>
  <r>
    <x v="60"/>
    <n v="1"/>
    <n v="190"/>
    <n v="190"/>
    <s v="محل "/>
    <m/>
    <x v="54"/>
  </r>
  <r>
    <x v="16"/>
    <n v="40"/>
    <n v="425"/>
    <n v="17000"/>
    <s v="محمد هاشم "/>
    <s v="آجل"/>
    <x v="54"/>
  </r>
  <r>
    <x v="55"/>
    <n v="80"/>
    <n v="500"/>
    <n v="40000"/>
    <s v="محمد هاشم "/>
    <s v="آجل"/>
    <x v="54"/>
  </r>
  <r>
    <x v="84"/>
    <n v="8"/>
    <n v="1185"/>
    <n v="9480"/>
    <s v="محمد هاشم "/>
    <s v="آجل"/>
    <x v="54"/>
  </r>
  <r>
    <x v="85"/>
    <n v="12"/>
    <n v="875"/>
    <n v="10500"/>
    <s v="محمد هاشم "/>
    <s v="آجل"/>
    <x v="54"/>
  </r>
  <r>
    <x v="25"/>
    <n v="50"/>
    <n v="670"/>
    <n v="33500"/>
    <s v="محمد هاشم "/>
    <s v="آجل"/>
    <x v="54"/>
  </r>
  <r>
    <x v="63"/>
    <n v="120"/>
    <n v="370"/>
    <n v="44400"/>
    <s v="محمد هاشم "/>
    <s v="آجل"/>
    <x v="54"/>
  </r>
  <r>
    <x v="6"/>
    <n v="135"/>
    <n v="235"/>
    <n v="31725"/>
    <s v="محمد هاشم "/>
    <s v="آجل"/>
    <x v="54"/>
  </r>
  <r>
    <x v="86"/>
    <n v="480"/>
    <n v="210"/>
    <n v="100800"/>
    <s v="محمد هاشم "/>
    <s v="آجل"/>
    <x v="54"/>
  </r>
  <r>
    <x v="77"/>
    <n v="24"/>
    <n v="225"/>
    <n v="5400"/>
    <s v="محمد هاشم "/>
    <s v="آجل"/>
    <x v="54"/>
  </r>
  <r>
    <x v="58"/>
    <n v="12"/>
    <n v="220"/>
    <n v="2640"/>
    <s v="محمد هاشم "/>
    <s v="آجل"/>
    <x v="54"/>
  </r>
  <r>
    <x v="20"/>
    <n v="12"/>
    <n v="190"/>
    <n v="2280"/>
    <s v="محمد هاشم "/>
    <s v="آجل"/>
    <x v="54"/>
  </r>
  <r>
    <x v="86"/>
    <n v="8"/>
    <n v="200"/>
    <n v="1600"/>
    <s v="محمد هاشم "/>
    <s v="آجل"/>
    <x v="54"/>
  </r>
  <r>
    <x v="10"/>
    <n v="95"/>
    <n v="480"/>
    <n v="45600"/>
    <s v="محمد هاشم "/>
    <s v="آجل"/>
    <x v="55"/>
  </r>
  <r>
    <x v="11"/>
    <n v="35"/>
    <n v="410"/>
    <n v="14350"/>
    <s v="محمد هاشم "/>
    <s v="آجل"/>
    <x v="55"/>
  </r>
  <r>
    <x v="12"/>
    <n v="140"/>
    <n v="230"/>
    <n v="32200"/>
    <s v="محمد هاشم "/>
    <s v="آجل"/>
    <x v="55"/>
  </r>
  <r>
    <x v="51"/>
    <n v="108"/>
    <n v="290"/>
    <n v="31320"/>
    <s v="محمد هاشم "/>
    <s v="آجل"/>
    <x v="55"/>
  </r>
  <r>
    <x v="30"/>
    <n v="80"/>
    <n v="230"/>
    <n v="18400"/>
    <s v="محمد هاشم "/>
    <s v="آجل"/>
    <x v="55"/>
  </r>
  <r>
    <x v="0"/>
    <n v="100"/>
    <n v="205"/>
    <n v="20500"/>
    <s v="محمد هاشم "/>
    <s v="آجل"/>
    <x v="55"/>
  </r>
  <r>
    <x v="36"/>
    <n v="96"/>
    <n v="605"/>
    <n v="58080"/>
    <s v="محمد هاشم "/>
    <s v="آجل"/>
    <x v="55"/>
  </r>
  <r>
    <x v="46"/>
    <n v="80"/>
    <n v="230"/>
    <n v="18400"/>
    <s v="محمد هاشم "/>
    <s v="آجل"/>
    <x v="55"/>
  </r>
  <r>
    <x v="1"/>
    <n v="100"/>
    <n v="115"/>
    <n v="11500"/>
    <s v="محمد هاشم "/>
    <s v="آجل"/>
    <x v="55"/>
  </r>
  <r>
    <x v="63"/>
    <n v="108"/>
    <n v="370"/>
    <n v="39960"/>
    <s v="محمد هاشم "/>
    <s v="آجل"/>
    <x v="55"/>
  </r>
  <r>
    <x v="87"/>
    <n v="480"/>
    <n v="85"/>
    <n v="40800"/>
    <s v="محمد هاشم "/>
    <s v="آجل"/>
    <x v="55"/>
  </r>
  <r>
    <x v="4"/>
    <n v="1"/>
    <n v="15"/>
    <n v="15"/>
    <s v="محل "/>
    <m/>
    <x v="55"/>
  </r>
  <r>
    <x v="8"/>
    <n v="1"/>
    <n v="40"/>
    <n v="40"/>
    <s v="محل "/>
    <m/>
    <x v="55"/>
  </r>
  <r>
    <x v="60"/>
    <n v="1"/>
    <n v="150"/>
    <n v="150"/>
    <s v="محل "/>
    <m/>
    <x v="56"/>
  </r>
  <r>
    <x v="4"/>
    <n v="2"/>
    <n v="15"/>
    <n v="30"/>
    <s v="محل "/>
    <m/>
    <x v="56"/>
  </r>
  <r>
    <x v="30"/>
    <n v="2"/>
    <n v="300"/>
    <n v="600"/>
    <s v="محل "/>
    <s v="آجل"/>
    <x v="56"/>
  </r>
  <r>
    <x v="1"/>
    <n v="3"/>
    <n v="200"/>
    <n v="600"/>
    <s v="محل "/>
    <s v="آجل"/>
    <x v="56"/>
  </r>
  <r>
    <x v="10"/>
    <n v="1"/>
    <n v="100"/>
    <n v="100"/>
    <s v="محل "/>
    <m/>
    <x v="56"/>
  </r>
  <r>
    <x v="11"/>
    <n v="1"/>
    <n v="100"/>
    <n v="100"/>
    <s v="محل "/>
    <m/>
    <x v="56"/>
  </r>
  <r>
    <x v="4"/>
    <n v="2"/>
    <n v="20"/>
    <n v="40"/>
    <s v="محل "/>
    <m/>
    <x v="56"/>
  </r>
  <r>
    <x v="8"/>
    <n v="2"/>
    <n v="50"/>
    <n v="100"/>
    <s v="محل "/>
    <m/>
    <x v="56"/>
  </r>
  <r>
    <x v="51"/>
    <n v="4"/>
    <n v="350"/>
    <n v="1400"/>
    <s v="مزرعة الطماطم"/>
    <s v="آجل"/>
    <x v="56"/>
  </r>
  <r>
    <x v="3"/>
    <n v="6"/>
    <n v="220"/>
    <n v="1320"/>
    <s v="مزرعة الطماطم"/>
    <s v="آجل"/>
    <x v="56"/>
  </r>
  <r>
    <x v="44"/>
    <n v="2"/>
    <n v="350"/>
    <n v="700"/>
    <s v="مزرعة الطماطم"/>
    <s v="آجل"/>
    <x v="56"/>
  </r>
  <r>
    <x v="2"/>
    <n v="6"/>
    <n v="200"/>
    <n v="1200"/>
    <s v="مزرعة الطماطم"/>
    <s v="آجل"/>
    <x v="56"/>
  </r>
  <r>
    <x v="87"/>
    <n v="3"/>
    <n v="150"/>
    <n v="450"/>
    <s v="مزرعة الطماطم"/>
    <s v="آجل"/>
    <x v="56"/>
  </r>
  <r>
    <x v="88"/>
    <n v="6"/>
    <n v="300"/>
    <n v="1800"/>
    <s v="مزرعة الطماطم"/>
    <s v="آجل"/>
    <x v="56"/>
  </r>
  <r>
    <x v="25"/>
    <n v="7"/>
    <n v="1250"/>
    <n v="8750"/>
    <s v="مزرعة الطماطم"/>
    <s v="آجل"/>
    <x v="56"/>
  </r>
  <r>
    <x v="43"/>
    <n v="2"/>
    <n v="1700"/>
    <n v="3400"/>
    <s v="مزرعة الطماطم"/>
    <s v="آجل"/>
    <x v="56"/>
  </r>
  <r>
    <x v="14"/>
    <n v="16"/>
    <n v="500"/>
    <n v="8000"/>
    <s v="مزرعة الطماطم"/>
    <s v="آجل"/>
    <x v="56"/>
  </r>
  <r>
    <x v="10"/>
    <n v="5"/>
    <n v="800"/>
    <n v="4000"/>
    <s v="مزرعة الطماطم"/>
    <s v="آجل"/>
    <x v="56"/>
  </r>
  <r>
    <x v="11"/>
    <n v="1"/>
    <n v="800"/>
    <n v="800"/>
    <s v="مزرعة الطماطم"/>
    <s v="آجل"/>
    <x v="56"/>
  </r>
  <r>
    <x v="26"/>
    <n v="5"/>
    <n v="500"/>
    <n v="2500"/>
    <s v="مزرعة الطماطم"/>
    <s v="آجل"/>
    <x v="56"/>
  </r>
  <r>
    <x v="40"/>
    <n v="2"/>
    <n v="300"/>
    <n v="600"/>
    <s v="مزرعة الطماطم"/>
    <s v="آجل"/>
    <x v="56"/>
  </r>
  <r>
    <x v="64"/>
    <n v="29"/>
    <n v="40"/>
    <n v="1160"/>
    <s v="مزرعة الطماطم"/>
    <s v="آجل"/>
    <x v="56"/>
  </r>
  <r>
    <x v="44"/>
    <n v="1"/>
    <n v="220"/>
    <n v="220"/>
    <s v="محل "/>
    <m/>
    <x v="57"/>
  </r>
  <r>
    <x v="32"/>
    <n v="1"/>
    <n v="100"/>
    <n v="100"/>
    <s v="محل "/>
    <m/>
    <x v="57"/>
  </r>
  <r>
    <x v="7"/>
    <n v="2"/>
    <n v="15"/>
    <n v="30"/>
    <s v="محل "/>
    <m/>
    <x v="58"/>
  </r>
  <r>
    <x v="33"/>
    <n v="1"/>
    <n v="140"/>
    <n v="140"/>
    <s v="محل "/>
    <m/>
    <x v="58"/>
  </r>
  <r>
    <x v="33"/>
    <n v="1"/>
    <n v="200"/>
    <n v="200"/>
    <s v="محل "/>
    <m/>
    <x v="58"/>
  </r>
  <r>
    <x v="32"/>
    <n v="1"/>
    <n v="100"/>
    <n v="100"/>
    <s v="محل "/>
    <m/>
    <x v="58"/>
  </r>
  <r>
    <x v="89"/>
    <n v="25"/>
    <n v="2000"/>
    <n v="50000"/>
    <s v="محمد هاشم "/>
    <s v="آجل"/>
    <x v="58"/>
  </r>
  <r>
    <x v="67"/>
    <n v="72"/>
    <n v="450"/>
    <n v="32400"/>
    <s v="محمد هاشم "/>
    <s v="آجل"/>
    <x v="58"/>
  </r>
  <r>
    <x v="18"/>
    <n v="60"/>
    <n v="270"/>
    <n v="16200"/>
    <s v="محمد هاشم "/>
    <s v="آجل"/>
    <x v="58"/>
  </r>
  <r>
    <x v="58"/>
    <n v="120"/>
    <n v="220"/>
    <n v="26400"/>
    <s v="محمد هاشم "/>
    <s v="آجل"/>
    <x v="58"/>
  </r>
  <r>
    <x v="19"/>
    <n v="60"/>
    <n v="185"/>
    <n v="11100"/>
    <s v="محمد هاشم "/>
    <s v="آجل"/>
    <x v="58"/>
  </r>
  <r>
    <x v="21"/>
    <n v="60"/>
    <n v="195"/>
    <n v="11700"/>
    <s v="محمد هاشم "/>
    <s v="آجل"/>
    <x v="58"/>
  </r>
  <r>
    <x v="56"/>
    <n v="80"/>
    <n v="400"/>
    <n v="32000"/>
    <s v="محمد هاشم "/>
    <s v="آجل"/>
    <x v="58"/>
  </r>
  <r>
    <x v="0"/>
    <n v="20"/>
    <n v="325"/>
    <n v="6500"/>
    <s v="محمد هاشم "/>
    <s v="آجل"/>
    <x v="58"/>
  </r>
  <r>
    <x v="59"/>
    <n v="60"/>
    <n v="250"/>
    <n v="15000"/>
    <s v="محمد هاشم "/>
    <s v="آجل"/>
    <x v="58"/>
  </r>
  <r>
    <x v="3"/>
    <n v="30"/>
    <n v="90"/>
    <n v="2700"/>
    <s v="محمد هاشم "/>
    <s v="آجل"/>
    <x v="58"/>
  </r>
  <r>
    <x v="90"/>
    <n v="30"/>
    <n v="220"/>
    <n v="6600"/>
    <s v="محمد هاشم "/>
    <s v="آجل"/>
    <x v="58"/>
  </r>
  <r>
    <x v="91"/>
    <n v="50"/>
    <n v="210"/>
    <n v="10500"/>
    <s v="محمد هاشم "/>
    <s v="آجل"/>
    <x v="58"/>
  </r>
  <r>
    <x v="40"/>
    <n v="24"/>
    <n v="210"/>
    <n v="5040"/>
    <s v="محمد هاشم "/>
    <s v="آجل"/>
    <x v="58"/>
  </r>
  <r>
    <x v="33"/>
    <n v="1"/>
    <n v="200"/>
    <n v="200"/>
    <s v="محل "/>
    <m/>
    <x v="59"/>
  </r>
  <r>
    <x v="7"/>
    <n v="1"/>
    <n v="10"/>
    <n v="10"/>
    <s v="محل "/>
    <m/>
    <x v="59"/>
  </r>
  <r>
    <x v="33"/>
    <n v="1"/>
    <n v="200"/>
    <n v="200"/>
    <s v="محل "/>
    <m/>
    <x v="60"/>
  </r>
  <r>
    <x v="50"/>
    <n v="1"/>
    <n v="250"/>
    <n v="250"/>
    <s v="محل "/>
    <m/>
    <x v="60"/>
  </r>
  <r>
    <x v="33"/>
    <n v="1"/>
    <n v="100"/>
    <n v="100"/>
    <s v="محل "/>
    <m/>
    <x v="61"/>
  </r>
  <r>
    <x v="92"/>
    <n v="1"/>
    <n v="100"/>
    <n v="100"/>
    <s v="محل "/>
    <m/>
    <x v="61"/>
  </r>
  <r>
    <x v="4"/>
    <n v="2"/>
    <n v="15"/>
    <n v="30"/>
    <s v="محل "/>
    <m/>
    <x v="62"/>
  </r>
  <r>
    <x v="11"/>
    <n v="1"/>
    <n v="80"/>
    <n v="80"/>
    <s v="محل "/>
    <m/>
    <x v="62"/>
  </r>
  <r>
    <x v="10"/>
    <n v="1"/>
    <n v="80"/>
    <n v="80"/>
    <s v="محل "/>
    <m/>
    <x v="62"/>
  </r>
  <r>
    <x v="28"/>
    <n v="1"/>
    <n v="100"/>
    <n v="100"/>
    <s v="محل "/>
    <m/>
    <x v="63"/>
  </r>
  <r>
    <x v="32"/>
    <n v="1"/>
    <n v="60"/>
    <n v="60"/>
    <s v="محل "/>
    <m/>
    <x v="63"/>
  </r>
  <r>
    <x v="2"/>
    <n v="1"/>
    <n v="60"/>
    <n v="60"/>
    <s v="محل "/>
    <m/>
    <x v="63"/>
  </r>
  <r>
    <x v="36"/>
    <n v="10"/>
    <n v="395"/>
    <n v="3950"/>
    <s v="مصطفي عبد التواب"/>
    <s v="آجل"/>
    <x v="63"/>
  </r>
  <r>
    <x v="12"/>
    <n v="10"/>
    <n v="235"/>
    <n v="2350"/>
    <s v="مصطفي عبد التواب"/>
    <s v="آجل"/>
    <x v="63"/>
  </r>
  <r>
    <x v="51"/>
    <n v="10"/>
    <n v="228"/>
    <n v="2280"/>
    <s v="مصطفي عبد التواب"/>
    <s v="آجل"/>
    <x v="63"/>
  </r>
  <r>
    <x v="63"/>
    <n v="10"/>
    <n v="295"/>
    <n v="2950"/>
    <s v="مصطفي عبد التواب"/>
    <s v="آجل"/>
    <x v="63"/>
  </r>
  <r>
    <x v="67"/>
    <n v="10"/>
    <n v="439"/>
    <n v="4390"/>
    <s v="مصطفي عبد التواب"/>
    <s v="آجل"/>
    <x v="63"/>
  </r>
  <r>
    <x v="6"/>
    <n v="1"/>
    <n v="239"/>
    <n v="239"/>
    <s v="مصطفي عبد التواب"/>
    <s v="آجل"/>
    <x v="63"/>
  </r>
  <r>
    <x v="93"/>
    <n v="10"/>
    <n v="1450"/>
    <n v="14500"/>
    <s v="مزرعة الطماطم"/>
    <s v="آجل"/>
    <x v="63"/>
  </r>
  <r>
    <x v="24"/>
    <n v="10"/>
    <n v="1450"/>
    <n v="14500"/>
    <s v="مزرعة الطماطم"/>
    <s v="آجل"/>
    <x v="63"/>
  </r>
  <r>
    <x v="11"/>
    <n v="5"/>
    <n v="800"/>
    <n v="4000"/>
    <s v="مزرعة الطماطم"/>
    <s v="آجل"/>
    <x v="63"/>
  </r>
  <r>
    <x v="10"/>
    <n v="3"/>
    <n v="800"/>
    <n v="2400"/>
    <s v="مزرعة الطماطم"/>
    <s v="آجل"/>
    <x v="63"/>
  </r>
  <r>
    <x v="86"/>
    <n v="8"/>
    <n v="200"/>
    <n v="1600"/>
    <s v="مزرعة الطماطم"/>
    <s v="آجل"/>
    <x v="63"/>
  </r>
  <r>
    <x v="0"/>
    <n v="4"/>
    <n v="550"/>
    <n v="2200"/>
    <s v="مزرعة الطماطم"/>
    <s v="آجل"/>
    <x v="63"/>
  </r>
  <r>
    <x v="51"/>
    <n v="2"/>
    <n v="350"/>
    <n v="700"/>
    <s v="مزرعة الطماطم"/>
    <s v="مرتجع "/>
    <x v="63"/>
  </r>
  <r>
    <x v="12"/>
    <n v="2"/>
    <n v="400"/>
    <n v="800"/>
    <s v="مزرعة الطماطم"/>
    <s v="آجل"/>
    <x v="63"/>
  </r>
  <r>
    <x v="59"/>
    <n v="6"/>
    <n v="200"/>
    <n v="1200"/>
    <s v="مزرعة الطماطم"/>
    <s v="آجل"/>
    <x v="63"/>
  </r>
  <r>
    <x v="40"/>
    <n v="2"/>
    <n v="300"/>
    <n v="600"/>
    <s v="مزرعة الطماطم"/>
    <s v="آجل"/>
    <x v="63"/>
  </r>
  <r>
    <x v="83"/>
    <n v="4"/>
    <n v="350"/>
    <n v="1400"/>
    <s v="مزرعة الطماطم"/>
    <s v="آجل"/>
    <x v="63"/>
  </r>
  <r>
    <x v="94"/>
    <n v="3"/>
    <n v="300"/>
    <n v="900"/>
    <s v="مزرعة الطماطم"/>
    <s v="آجل"/>
    <x v="63"/>
  </r>
  <r>
    <x v="63"/>
    <n v="4"/>
    <n v="550"/>
    <n v="2200"/>
    <s v="مزرعة الطماطم"/>
    <s v="آجل"/>
    <x v="63"/>
  </r>
  <r>
    <x v="4"/>
    <n v="2"/>
    <n v="15"/>
    <n v="30"/>
    <s v="محل "/>
    <m/>
    <x v="64"/>
  </r>
  <r>
    <x v="30"/>
    <n v="5"/>
    <n v="350"/>
    <n v="1750"/>
    <s v="محل "/>
    <m/>
    <x v="64"/>
  </r>
  <r>
    <x v="33"/>
    <n v="1"/>
    <n v="130"/>
    <n v="130"/>
    <s v="محل "/>
    <m/>
    <x v="64"/>
  </r>
  <r>
    <x v="8"/>
    <n v="1"/>
    <n v="40"/>
    <n v="40"/>
    <s v="محل "/>
    <m/>
    <x v="65"/>
  </r>
  <r>
    <x v="18"/>
    <n v="3"/>
    <n v="300"/>
    <n v="900"/>
    <s v="مزرعة الطماطم"/>
    <s v="آجل"/>
    <x v="65"/>
  </r>
  <r>
    <x v="60"/>
    <n v="2"/>
    <n v="200"/>
    <n v="400"/>
    <s v="مزرعة الطماطم"/>
    <s v="آجل"/>
    <x v="65"/>
  </r>
  <r>
    <x v="51"/>
    <n v="1"/>
    <n v="350"/>
    <n v="350"/>
    <s v="مزرعة الطماطم"/>
    <s v="آجل"/>
    <x v="65"/>
  </r>
  <r>
    <x v="33"/>
    <n v="1"/>
    <n v="150"/>
    <n v="150"/>
    <s v="محل "/>
    <m/>
    <x v="65"/>
  </r>
  <r>
    <x v="4"/>
    <n v="1"/>
    <n v="20"/>
    <n v="20"/>
    <s v="محل "/>
    <m/>
    <x v="65"/>
  </r>
  <r>
    <x v="30"/>
    <n v="1"/>
    <n v="350"/>
    <n v="350"/>
    <s v="محل "/>
    <m/>
    <x v="66"/>
  </r>
  <r>
    <x v="33"/>
    <n v="1"/>
    <n v="230"/>
    <n v="230"/>
    <s v="محل "/>
    <m/>
    <x v="66"/>
  </r>
  <r>
    <x v="59"/>
    <n v="1"/>
    <n v="200"/>
    <n v="200"/>
    <s v="محل "/>
    <m/>
    <x v="66"/>
  </r>
  <r>
    <x v="50"/>
    <n v="1"/>
    <n v="150"/>
    <n v="150"/>
    <s v="محل "/>
    <m/>
    <x v="66"/>
  </r>
  <r>
    <x v="4"/>
    <n v="1"/>
    <n v="20"/>
    <n v="20"/>
    <s v="محل "/>
    <m/>
    <x v="66"/>
  </r>
  <r>
    <x v="36"/>
    <n v="5"/>
    <n v="500"/>
    <n v="2500"/>
    <s v="مزرعة الطماطم"/>
    <s v="آجل"/>
    <x v="67"/>
  </r>
  <r>
    <x v="1"/>
    <n v="1"/>
    <n v="150"/>
    <n v="150"/>
    <s v="محل "/>
    <m/>
    <x v="67"/>
  </r>
  <r>
    <x v="30"/>
    <n v="1"/>
    <n v="350"/>
    <n v="350"/>
    <s v="محل "/>
    <m/>
    <x v="68"/>
  </r>
  <r>
    <x v="31"/>
    <n v="1"/>
    <n v="50"/>
    <n v="50"/>
    <s v="محل "/>
    <m/>
    <x v="68"/>
  </r>
  <r>
    <x v="1"/>
    <n v="1"/>
    <n v="150"/>
    <n v="150"/>
    <s v="محل "/>
    <m/>
    <x v="69"/>
  </r>
  <r>
    <x v="4"/>
    <n v="1"/>
    <n v="20"/>
    <n v="20"/>
    <s v="محل "/>
    <m/>
    <x v="69"/>
  </r>
  <r>
    <x v="16"/>
    <n v="1"/>
    <n v="350"/>
    <n v="350"/>
    <s v="محل "/>
    <m/>
    <x v="69"/>
  </r>
  <r>
    <x v="89"/>
    <n v="3"/>
    <n v="3000"/>
    <n v="9000"/>
    <s v="اخوات الحج نادر"/>
    <s v="آجل"/>
    <x v="69"/>
  </r>
  <r>
    <x v="14"/>
    <n v="4"/>
    <n v="420"/>
    <n v="1680"/>
    <s v="اخوات الحج نادر"/>
    <s v="آجل"/>
    <x v="69"/>
  </r>
  <r>
    <x v="30"/>
    <n v="1"/>
    <n v="350"/>
    <n v="350"/>
    <s v="محل "/>
    <m/>
    <x v="70"/>
  </r>
  <r>
    <x v="0"/>
    <n v="1"/>
    <n v="300"/>
    <n v="300"/>
    <s v="محل "/>
    <m/>
    <x v="71"/>
  </r>
  <r>
    <x v="33"/>
    <n v="1"/>
    <n v="150"/>
    <n v="150"/>
    <s v="محل "/>
    <m/>
    <x v="72"/>
  </r>
  <r>
    <x v="33"/>
    <n v="1"/>
    <n v="150"/>
    <n v="150"/>
    <s v="محل "/>
    <m/>
    <x v="73"/>
  </r>
  <r>
    <x v="51"/>
    <n v="0.1"/>
    <n v="500"/>
    <n v="50"/>
    <s v="محل "/>
    <m/>
    <x v="74"/>
  </r>
  <r>
    <x v="4"/>
    <n v="1"/>
    <n v="25"/>
    <n v="25"/>
    <s v="محل "/>
    <m/>
    <x v="74"/>
  </r>
  <r>
    <x v="11"/>
    <n v="0.2"/>
    <n v="500"/>
    <n v="100"/>
    <s v="محل "/>
    <m/>
    <x v="75"/>
  </r>
  <r>
    <x v="33"/>
    <n v="1"/>
    <n v="150"/>
    <n v="150"/>
    <s v="محل "/>
    <m/>
    <x v="75"/>
  </r>
  <r>
    <x v="30"/>
    <n v="2"/>
    <n v="350"/>
    <n v="700"/>
    <s v="محل "/>
    <m/>
    <x v="76"/>
  </r>
  <r>
    <x v="64"/>
    <n v="25"/>
    <n v="40"/>
    <n v="1000"/>
    <s v="ارض الحرجاوية "/>
    <s v="آجل"/>
    <x v="76"/>
  </r>
  <r>
    <x v="4"/>
    <n v="4"/>
    <n v="15"/>
    <n v="60"/>
    <s v="محل "/>
    <m/>
    <x v="77"/>
  </r>
  <r>
    <x v="11"/>
    <n v="1"/>
    <n v="100"/>
    <n v="100"/>
    <s v="محل "/>
    <m/>
    <x v="77"/>
  </r>
  <r>
    <x v="63"/>
    <n v="4"/>
    <n v="500"/>
    <n v="2000"/>
    <s v="مزرعة الطماطم"/>
    <s v="آجل"/>
    <x v="77"/>
  </r>
  <r>
    <x v="53"/>
    <n v="4"/>
    <n v="750"/>
    <n v="3000"/>
    <s v="مزرعة الطماطم"/>
    <s v="آجل"/>
    <x v="77"/>
  </r>
  <r>
    <x v="95"/>
    <n v="4"/>
    <n v="120"/>
    <n v="480"/>
    <s v="مزرعة الطماطم"/>
    <s v="آجل"/>
    <x v="77"/>
  </r>
  <r>
    <x v="60"/>
    <n v="4"/>
    <n v="200"/>
    <n v="800"/>
    <s v="مزرعة الطماطم"/>
    <s v="آجل"/>
    <x v="77"/>
  </r>
  <r>
    <x v="18"/>
    <n v="2"/>
    <n v="300"/>
    <n v="600"/>
    <s v="مزرعة الطماطم"/>
    <s v="آجل"/>
    <x v="77"/>
  </r>
  <r>
    <x v="11"/>
    <n v="1"/>
    <n v="500"/>
    <n v="500"/>
    <s v="مزرعة الطماطم"/>
    <s v="آجل"/>
    <x v="77"/>
  </r>
  <r>
    <x v="24"/>
    <n v="5"/>
    <n v="1335"/>
    <n v="6675"/>
    <s v="مزرعة الطماطم"/>
    <s v="آجل"/>
    <x v="78"/>
  </r>
  <r>
    <x v="25"/>
    <n v="5"/>
    <n v="760"/>
    <n v="3800"/>
    <s v="مزرعة الطماطم"/>
    <s v="آجل"/>
    <x v="78"/>
  </r>
  <r>
    <x v="93"/>
    <n v="5"/>
    <n v="1335"/>
    <n v="6675"/>
    <s v="مزرعة الطماطم"/>
    <s v="آجل"/>
    <x v="78"/>
  </r>
  <r>
    <x v="15"/>
    <n v="6"/>
    <n v="1050"/>
    <n v="6300"/>
    <s v="مزرعة الطماطم"/>
    <s v="آجل"/>
    <x v="78"/>
  </r>
  <r>
    <x v="11"/>
    <n v="5"/>
    <n v="500"/>
    <n v="2500"/>
    <s v="مزرعة الطماطم"/>
    <s v="آجل"/>
    <x v="78"/>
  </r>
  <r>
    <x v="64"/>
    <n v="50"/>
    <n v="40"/>
    <n v="2000"/>
    <s v="مزرعة الطماطم"/>
    <s v="آجل"/>
    <x v="78"/>
  </r>
  <r>
    <x v="96"/>
    <n v="1"/>
    <n v="150"/>
    <n v="150"/>
    <s v="محل "/>
    <m/>
    <x v="78"/>
  </r>
  <r>
    <x v="30"/>
    <n v="1"/>
    <n v="350"/>
    <n v="350"/>
    <s v="محل "/>
    <m/>
    <x v="78"/>
  </r>
  <r>
    <x v="33"/>
    <n v="1"/>
    <n v="200"/>
    <n v="200"/>
    <s v="محل "/>
    <m/>
    <x v="79"/>
  </r>
  <r>
    <x v="4"/>
    <n v="1"/>
    <n v="15"/>
    <n v="15"/>
    <s v="محل "/>
    <m/>
    <x v="80"/>
  </r>
  <r>
    <x v="11"/>
    <n v="1"/>
    <n v="100"/>
    <n v="100"/>
    <s v="محل "/>
    <m/>
    <x v="80"/>
  </r>
  <r>
    <x v="30"/>
    <n v="1"/>
    <n v="400"/>
    <n v="400"/>
    <s v="محل "/>
    <m/>
    <x v="81"/>
  </r>
  <r>
    <x v="33"/>
    <n v="1"/>
    <n v="150"/>
    <n v="150"/>
    <s v="محل "/>
    <m/>
    <x v="81"/>
  </r>
  <r>
    <x v="40"/>
    <n v="1"/>
    <n v="300"/>
    <n v="300"/>
    <s v="محل "/>
    <m/>
    <x v="82"/>
  </r>
  <r>
    <x v="44"/>
    <n v="1"/>
    <n v="220"/>
    <n v="220"/>
    <s v="محل "/>
    <s v="مرتجع "/>
    <x v="82"/>
  </r>
  <r>
    <x v="22"/>
    <n v="1"/>
    <n v="130"/>
    <n v="130"/>
    <s v="محل "/>
    <m/>
    <x v="82"/>
  </r>
  <r>
    <x v="60"/>
    <n v="1"/>
    <n v="180"/>
    <n v="180"/>
    <s v="محل "/>
    <m/>
    <x v="82"/>
  </r>
  <r>
    <x v="11"/>
    <n v="1"/>
    <n v="100"/>
    <n v="100"/>
    <s v="محل "/>
    <m/>
    <x v="82"/>
  </r>
  <r>
    <x v="4"/>
    <n v="3"/>
    <n v="15"/>
    <n v="45"/>
    <s v="محل "/>
    <m/>
    <x v="83"/>
  </r>
  <r>
    <x v="30"/>
    <n v="1"/>
    <n v="350"/>
    <n v="350"/>
    <s v="محل "/>
    <m/>
    <x v="83"/>
  </r>
  <r>
    <x v="60"/>
    <n v="1"/>
    <n v="180"/>
    <n v="180"/>
    <s v="محل "/>
    <m/>
    <x v="84"/>
  </r>
  <r>
    <x v="33"/>
    <n v="1"/>
    <n v="150"/>
    <n v="150"/>
    <s v="محل "/>
    <m/>
    <x v="84"/>
  </r>
  <r>
    <x v="30"/>
    <n v="1"/>
    <n v="370"/>
    <n v="370"/>
    <s v="محل "/>
    <m/>
    <x v="85"/>
  </r>
  <r>
    <x v="50"/>
    <n v="2"/>
    <n v="300"/>
    <n v="600"/>
    <s v="محل "/>
    <m/>
    <x v="85"/>
  </r>
  <r>
    <x v="89"/>
    <n v="1.5"/>
    <n v="100"/>
    <n v="150"/>
    <s v="محل "/>
    <m/>
    <x v="85"/>
  </r>
  <r>
    <x v="11"/>
    <n v="1"/>
    <n v="250"/>
    <n v="250"/>
    <s v="محل "/>
    <m/>
    <x v="85"/>
  </r>
  <r>
    <x v="4"/>
    <n v="2"/>
    <n v="15"/>
    <n v="30"/>
    <s v="محل "/>
    <m/>
    <x v="86"/>
  </r>
  <r>
    <x v="11"/>
    <n v="2"/>
    <n v="100"/>
    <n v="200"/>
    <s v="محل "/>
    <m/>
    <x v="86"/>
  </r>
  <r>
    <x v="63"/>
    <n v="1"/>
    <n v="300"/>
    <n v="300"/>
    <s v="محل "/>
    <m/>
    <x v="86"/>
  </r>
  <r>
    <x v="46"/>
    <n v="1"/>
    <n v="200"/>
    <n v="200"/>
    <s v="محل "/>
    <m/>
    <x v="86"/>
  </r>
  <r>
    <x v="4"/>
    <n v="1"/>
    <n v="15"/>
    <n v="15"/>
    <s v="محل "/>
    <m/>
    <x v="87"/>
  </r>
  <r>
    <x v="63"/>
    <n v="1"/>
    <n v="350"/>
    <n v="350"/>
    <s v="محل "/>
    <m/>
    <x v="88"/>
  </r>
  <r>
    <x v="61"/>
    <n v="1"/>
    <n v="300"/>
    <n v="300"/>
    <s v="محل "/>
    <m/>
    <x v="89"/>
  </r>
  <r>
    <x v="4"/>
    <n v="1"/>
    <n v="10"/>
    <n v="10"/>
    <s v="محل "/>
    <m/>
    <x v="90"/>
  </r>
  <r>
    <x v="4"/>
    <n v="2"/>
    <n v="20"/>
    <n v="40"/>
    <s v="محل "/>
    <m/>
    <x v="91"/>
  </r>
  <r>
    <x v="25"/>
    <n v="5"/>
    <n v="1250"/>
    <n v="6250"/>
    <s v="مزرعة الطماطم"/>
    <m/>
    <x v="92"/>
  </r>
  <r>
    <x v="24"/>
    <n v="3"/>
    <n v="1450"/>
    <n v="4350"/>
    <s v="مزرعة الطماطم"/>
    <m/>
    <x v="92"/>
  </r>
  <r>
    <x v="93"/>
    <n v="4"/>
    <n v="1450"/>
    <n v="5800"/>
    <s v="مزرعة الطماطم"/>
    <m/>
    <x v="92"/>
  </r>
  <r>
    <x v="90"/>
    <n v="4"/>
    <n v="250"/>
    <n v="1000"/>
    <s v="مزرعة الطماطم"/>
    <m/>
    <x v="92"/>
  </r>
  <r>
    <x v="0"/>
    <n v="3"/>
    <n v="550"/>
    <n v="1650"/>
    <s v="مزرعة الطماطم"/>
    <m/>
    <x v="92"/>
  </r>
  <r>
    <x v="36"/>
    <n v="6"/>
    <n v="650"/>
    <n v="3900"/>
    <s v="مزرعة الطماطم"/>
    <m/>
    <x v="92"/>
  </r>
  <r>
    <x v="15"/>
    <n v="4"/>
    <n v="500"/>
    <n v="2000"/>
    <s v="مزرعة الطماطم"/>
    <m/>
    <x v="92"/>
  </r>
  <r>
    <x v="50"/>
    <n v="1"/>
    <n v="250"/>
    <n v="250"/>
    <s v="محل "/>
    <m/>
    <x v="92"/>
  </r>
  <r>
    <x v="46"/>
    <n v="1"/>
    <n v="300"/>
    <n v="300"/>
    <s v="محل "/>
    <m/>
    <x v="92"/>
  </r>
  <r>
    <x v="34"/>
    <n v="1"/>
    <n v="100"/>
    <n v="100"/>
    <s v="محل "/>
    <m/>
    <x v="92"/>
  </r>
  <r>
    <x v="50"/>
    <n v="1"/>
    <n v="250"/>
    <n v="250"/>
    <s v="محل "/>
    <m/>
    <x v="93"/>
  </r>
  <r>
    <x v="46"/>
    <n v="1"/>
    <n v="250"/>
    <n v="250"/>
    <s v="محل "/>
    <m/>
    <x v="93"/>
  </r>
  <r>
    <x v="33"/>
    <n v="1"/>
    <n v="200"/>
    <n v="200"/>
    <s v="محل "/>
    <m/>
    <x v="94"/>
  </r>
  <r>
    <x v="89"/>
    <n v="1"/>
    <n v="135"/>
    <n v="135"/>
    <s v="محل "/>
    <m/>
    <x v="94"/>
  </r>
  <r>
    <x v="4"/>
    <n v="2"/>
    <n v="15"/>
    <n v="30"/>
    <s v="محل "/>
    <m/>
    <x v="95"/>
  </r>
  <r>
    <x v="89"/>
    <n v="0.5"/>
    <n v="110"/>
    <n v="55"/>
    <s v="محل "/>
    <m/>
    <x v="95"/>
  </r>
  <r>
    <x v="89"/>
    <n v="3"/>
    <n v="150"/>
    <n v="450"/>
    <s v="محل "/>
    <m/>
    <x v="96"/>
  </r>
  <r>
    <x v="89"/>
    <n v="0.5"/>
    <n v="140"/>
    <n v="70"/>
    <s v="محل "/>
    <s v="آجل"/>
    <x v="97"/>
  </r>
  <r>
    <x v="89"/>
    <n v="3"/>
    <n v="143.30000000000001"/>
    <n v="429.90000000000003"/>
    <s v="محل "/>
    <m/>
    <x v="98"/>
  </r>
  <r>
    <x v="89"/>
    <n v="1"/>
    <n v="150"/>
    <n v="150"/>
    <s v="محل "/>
    <m/>
    <x v="98"/>
  </r>
  <r>
    <x v="51"/>
    <n v="1"/>
    <n v="320"/>
    <n v="320"/>
    <s v="محل "/>
    <m/>
    <x v="98"/>
  </r>
  <r>
    <x v="50"/>
    <n v="1"/>
    <n v="250"/>
    <n v="250"/>
    <s v="محل "/>
    <m/>
    <x v="99"/>
  </r>
  <r>
    <x v="89"/>
    <n v="0.5"/>
    <n v="140"/>
    <n v="70"/>
    <s v="محل "/>
    <m/>
    <x v="99"/>
  </r>
  <r>
    <x v="4"/>
    <n v="2"/>
    <n v="10"/>
    <n v="20"/>
    <s v="محل "/>
    <m/>
    <x v="99"/>
  </r>
  <r>
    <x v="50"/>
    <n v="2"/>
    <n v="300"/>
    <n v="600"/>
    <s v="محل "/>
    <m/>
    <x v="100"/>
  </r>
  <r>
    <x v="11"/>
    <n v="1"/>
    <n v="100"/>
    <n v="100"/>
    <s v="محل "/>
    <m/>
    <x v="100"/>
  </r>
  <r>
    <x v="4"/>
    <n v="2"/>
    <n v="15"/>
    <n v="30"/>
    <s v="محل "/>
    <m/>
    <x v="101"/>
  </r>
  <r>
    <x v="33"/>
    <n v="1"/>
    <n v="150"/>
    <n v="150"/>
    <s v="محل "/>
    <m/>
    <x v="102"/>
  </r>
  <r>
    <x v="50"/>
    <n v="1"/>
    <n v="300"/>
    <n v="300"/>
    <s v="محل "/>
    <m/>
    <x v="102"/>
  </r>
  <r>
    <x v="4"/>
    <n v="2"/>
    <n v="15"/>
    <n v="30"/>
    <s v="محل "/>
    <m/>
    <x v="103"/>
  </r>
  <r>
    <x v="50"/>
    <n v="1"/>
    <n v="300"/>
    <n v="300"/>
    <s v="محل "/>
    <m/>
    <x v="104"/>
  </r>
  <r>
    <x v="11"/>
    <n v="1"/>
    <n v="100"/>
    <n v="100"/>
    <s v="محل "/>
    <m/>
    <x v="105"/>
  </r>
  <r>
    <x v="4"/>
    <n v="1"/>
    <n v="15"/>
    <n v="15"/>
    <s v="محل "/>
    <m/>
    <x v="105"/>
  </r>
  <r>
    <x v="12"/>
    <n v="1"/>
    <n v="350"/>
    <n v="350"/>
    <s v="محل "/>
    <m/>
    <x v="106"/>
  </r>
  <r>
    <x v="60"/>
    <n v="1"/>
    <n v="200"/>
    <n v="200"/>
    <s v="محل "/>
    <m/>
    <x v="106"/>
  </r>
  <r>
    <x v="50"/>
    <n v="1"/>
    <n v="250"/>
    <n v="250"/>
    <s v="محل "/>
    <m/>
    <x v="106"/>
  </r>
  <r>
    <x v="4"/>
    <n v="1"/>
    <n v="12"/>
    <n v="12"/>
    <s v="محل "/>
    <m/>
    <x v="106"/>
  </r>
  <r>
    <x v="4"/>
    <n v="1"/>
    <n v="15"/>
    <n v="15"/>
    <s v="محل "/>
    <m/>
    <x v="107"/>
  </r>
  <r>
    <x v="4"/>
    <n v="1"/>
    <n v="15"/>
    <n v="15"/>
    <s v="محل "/>
    <m/>
    <x v="108"/>
  </r>
  <r>
    <x v="24"/>
    <n v="20"/>
    <n v="1700"/>
    <n v="34000"/>
    <s v="مزرعة الكانتلوب"/>
    <m/>
    <x v="109"/>
  </r>
  <r>
    <x v="25"/>
    <n v="20"/>
    <n v="1000"/>
    <n v="20000"/>
    <s v="مزرعة الكانتلوب"/>
    <m/>
    <x v="109"/>
  </r>
  <r>
    <x v="93"/>
    <n v="20"/>
    <n v="1600"/>
    <n v="32000"/>
    <s v="مزرعة الكانتلوب"/>
    <m/>
    <x v="109"/>
  </r>
  <r>
    <x v="15"/>
    <n v="25"/>
    <n v="1500"/>
    <n v="37500"/>
    <s v="مزرعة الكانتلوب"/>
    <m/>
    <x v="109"/>
  </r>
  <r>
    <x v="11"/>
    <n v="15"/>
    <n v="700"/>
    <n v="10500"/>
    <s v="مزرعة الكانتلوب"/>
    <m/>
    <x v="109"/>
  </r>
  <r>
    <x v="89"/>
    <n v="2"/>
    <n v="3500"/>
    <n v="7000"/>
    <s v="مزرعة الكانتلوب"/>
    <m/>
    <x v="109"/>
  </r>
  <r>
    <x v="51"/>
    <n v="1"/>
    <n v="85"/>
    <n v="85"/>
    <s v="محل "/>
    <m/>
    <x v="109"/>
  </r>
  <r>
    <x v="89"/>
    <n v="1"/>
    <n v="2000"/>
    <n v="2000"/>
    <s v="محل "/>
    <m/>
    <x v="110"/>
  </r>
  <r>
    <x v="46"/>
    <n v="1"/>
    <n v="300"/>
    <n v="300"/>
    <s v="محل "/>
    <m/>
    <x v="110"/>
  </r>
  <r>
    <x v="50"/>
    <n v="1"/>
    <n v="300"/>
    <n v="300"/>
    <s v="محل "/>
    <m/>
    <x v="110"/>
  </r>
  <r>
    <x v="33"/>
    <n v="1"/>
    <n v="200"/>
    <n v="200"/>
    <s v="محل "/>
    <m/>
    <x v="110"/>
  </r>
  <r>
    <x v="60"/>
    <n v="2"/>
    <n v="300"/>
    <n v="600"/>
    <s v="محل "/>
    <m/>
    <x v="110"/>
  </r>
  <r>
    <x v="50"/>
    <n v="1"/>
    <n v="300"/>
    <n v="300"/>
    <s v="محل "/>
    <m/>
    <x v="111"/>
  </r>
  <r>
    <x v="4"/>
    <n v="2"/>
    <n v="15"/>
    <n v="30"/>
    <s v="محل "/>
    <m/>
    <x v="111"/>
  </r>
  <r>
    <x v="51"/>
    <n v="2"/>
    <n v="350"/>
    <n v="700"/>
    <s v="محل "/>
    <m/>
    <x v="111"/>
  </r>
  <r>
    <x v="95"/>
    <n v="1"/>
    <n v="100"/>
    <n v="100"/>
    <s v="محل "/>
    <m/>
    <x v="111"/>
  </r>
  <r>
    <x v="50"/>
    <n v="1"/>
    <n v="270"/>
    <n v="270"/>
    <s v="محل "/>
    <m/>
    <x v="111"/>
  </r>
  <r>
    <x v="60"/>
    <n v="1"/>
    <n v="150"/>
    <n v="150"/>
    <s v="محل "/>
    <m/>
    <x v="111"/>
  </r>
  <r>
    <x v="4"/>
    <n v="1"/>
    <n v="15"/>
    <n v="15"/>
    <s v="محل "/>
    <m/>
    <x v="112"/>
  </r>
  <r>
    <x v="33"/>
    <n v="1"/>
    <n v="200"/>
    <n v="200"/>
    <s v="محل "/>
    <m/>
    <x v="113"/>
  </r>
  <r>
    <x v="51"/>
    <n v="0.25"/>
    <n v="300"/>
    <n v="75"/>
    <s v="محل "/>
    <m/>
    <x v="113"/>
  </r>
  <r>
    <x v="23"/>
    <n v="6"/>
    <n v="150"/>
    <n v="900"/>
    <s v="مزرعة الطماطم"/>
    <m/>
    <x v="114"/>
  </r>
  <r>
    <x v="0"/>
    <n v="3"/>
    <n v="550"/>
    <n v="1650"/>
    <s v="مزرعة الطماطم"/>
    <m/>
    <x v="114"/>
  </r>
  <r>
    <x v="33"/>
    <n v="6"/>
    <n v="250"/>
    <n v="1500"/>
    <s v="مزرعة الطماطم"/>
    <m/>
    <x v="114"/>
  </r>
  <r>
    <x v="8"/>
    <n v="3"/>
    <n v="40"/>
    <n v="120"/>
    <s v="محل "/>
    <m/>
    <x v="114"/>
  </r>
  <r>
    <x v="21"/>
    <n v="1"/>
    <n v="350"/>
    <n v="350"/>
    <s v="محل "/>
    <m/>
    <x v="114"/>
  </r>
  <r>
    <x v="51"/>
    <n v="1"/>
    <n v="350"/>
    <n v="350"/>
    <s v="محل "/>
    <m/>
    <x v="114"/>
  </r>
  <r>
    <x v="4"/>
    <n v="3"/>
    <n v="15"/>
    <n v="45"/>
    <s v="محل "/>
    <m/>
    <x v="114"/>
  </r>
  <r>
    <x v="50"/>
    <n v="1"/>
    <n v="300"/>
    <n v="300"/>
    <s v="محل "/>
    <m/>
    <x v="114"/>
  </r>
  <r>
    <x v="51"/>
    <n v="1"/>
    <n v="350"/>
    <n v="350"/>
    <s v="محل "/>
    <m/>
    <x v="115"/>
  </r>
  <r>
    <x v="95"/>
    <n v="1"/>
    <n v="100"/>
    <n v="100"/>
    <s v="محل "/>
    <m/>
    <x v="115"/>
  </r>
  <r>
    <x v="30"/>
    <n v="3"/>
    <n v="400"/>
    <n v="1200"/>
    <s v="محل "/>
    <m/>
    <x v="115"/>
  </r>
  <r>
    <x v="46"/>
    <n v="1"/>
    <n v="300"/>
    <n v="300"/>
    <s v="محل "/>
    <m/>
    <x v="115"/>
  </r>
  <r>
    <x v="4"/>
    <n v="1"/>
    <n v="20"/>
    <n v="20"/>
    <s v="محل "/>
    <m/>
    <x v="115"/>
  </r>
  <r>
    <x v="60"/>
    <n v="1"/>
    <n v="180"/>
    <n v="180"/>
    <s v="محل "/>
    <m/>
    <x v="116"/>
  </r>
  <r>
    <x v="33"/>
    <n v="1"/>
    <n v="150"/>
    <n v="150"/>
    <s v="محل "/>
    <m/>
    <x v="116"/>
  </r>
  <r>
    <x v="95"/>
    <n v="1"/>
    <n v="100"/>
    <n v="100"/>
    <s v="محل "/>
    <m/>
    <x v="116"/>
  </r>
  <r>
    <x v="12"/>
    <n v="0.5"/>
    <n v="300"/>
    <n v="150"/>
    <s v="محل "/>
    <m/>
    <x v="116"/>
  </r>
  <r>
    <x v="46"/>
    <n v="1"/>
    <n v="350"/>
    <n v="350"/>
    <s v="محل "/>
    <m/>
    <x v="116"/>
  </r>
  <r>
    <x v="4"/>
    <n v="1"/>
    <n v="15"/>
    <n v="15"/>
    <s v="محل "/>
    <m/>
    <x v="116"/>
  </r>
  <r>
    <x v="89"/>
    <n v="1"/>
    <n v="250"/>
    <n v="250"/>
    <s v="محل "/>
    <m/>
    <x v="117"/>
  </r>
  <r>
    <x v="44"/>
    <n v="2"/>
    <n v="250"/>
    <n v="500"/>
    <s v="محل "/>
    <m/>
    <x v="118"/>
  </r>
  <r>
    <x v="23"/>
    <n v="2"/>
    <n v="125"/>
    <n v="250"/>
    <s v="محل "/>
    <m/>
    <x v="118"/>
  </r>
  <r>
    <x v="51"/>
    <n v="1"/>
    <n v="350"/>
    <n v="350"/>
    <s v="محل "/>
    <m/>
    <x v="118"/>
  </r>
  <r>
    <x v="50"/>
    <n v="3"/>
    <n v="300"/>
    <n v="900"/>
    <s v="محل "/>
    <m/>
    <x v="118"/>
  </r>
  <r>
    <x v="60"/>
    <n v="2"/>
    <n v="200"/>
    <n v="400"/>
    <s v="محل "/>
    <m/>
    <x v="118"/>
  </r>
  <r>
    <x v="89"/>
    <n v="1"/>
    <n v="150"/>
    <n v="150"/>
    <s v="محل "/>
    <m/>
    <x v="118"/>
  </r>
  <r>
    <x v="34"/>
    <n v="1"/>
    <n v="100"/>
    <n v="100"/>
    <s v="محل "/>
    <m/>
    <x v="119"/>
  </r>
  <r>
    <x v="89"/>
    <n v="3"/>
    <n v="200"/>
    <n v="600"/>
    <s v="محل "/>
    <m/>
    <x v="119"/>
  </r>
  <r>
    <x v="32"/>
    <n v="2"/>
    <n v="90"/>
    <n v="180"/>
    <s v="محل "/>
    <m/>
    <x v="120"/>
  </r>
  <r>
    <x v="44"/>
    <n v="1"/>
    <n v="200"/>
    <n v="200"/>
    <s v="محل "/>
    <m/>
    <x v="120"/>
  </r>
  <r>
    <x v="89"/>
    <n v="0.5"/>
    <n v="200"/>
    <n v="100"/>
    <s v="محل "/>
    <m/>
    <x v="120"/>
  </r>
  <r>
    <x v="12"/>
    <n v="0.5"/>
    <n v="350"/>
    <n v="175"/>
    <s v="محل "/>
    <m/>
    <x v="120"/>
  </r>
  <r>
    <x v="89"/>
    <n v="1.25"/>
    <n v="200"/>
    <n v="250"/>
    <s v="محل "/>
    <m/>
    <x v="120"/>
  </r>
  <r>
    <x v="46"/>
    <n v="1"/>
    <n v="350"/>
    <n v="350"/>
    <s v="محل "/>
    <m/>
    <x v="120"/>
  </r>
  <r>
    <x v="50"/>
    <n v="1"/>
    <n v="300"/>
    <n v="300"/>
    <s v="محل "/>
    <m/>
    <x v="120"/>
  </r>
  <r>
    <x v="60"/>
    <n v="1"/>
    <n v="200"/>
    <n v="200"/>
    <s v="محل "/>
    <m/>
    <x v="120"/>
  </r>
  <r>
    <x v="11"/>
    <n v="10"/>
    <n v="800"/>
    <n v="8000"/>
    <s v="مزرعة الطماطم"/>
    <m/>
    <x v="121"/>
  </r>
  <r>
    <x v="89"/>
    <n v="1"/>
    <n v="3500"/>
    <n v="3500"/>
    <s v="مزرعة الطماطم"/>
    <m/>
    <x v="121"/>
  </r>
  <r>
    <x v="60"/>
    <n v="20"/>
    <n v="200"/>
    <n v="4000"/>
    <s v="مزرعة الطماطم"/>
    <m/>
    <x v="121"/>
  </r>
  <r>
    <x v="24"/>
    <n v="6"/>
    <n v="1450"/>
    <n v="8700"/>
    <s v="مزرعة الطماطم"/>
    <m/>
    <x v="121"/>
  </r>
  <r>
    <x v="25"/>
    <n v="6"/>
    <n v="1250"/>
    <n v="7500"/>
    <s v="مزرعة الطماطم"/>
    <m/>
    <x v="121"/>
  </r>
  <r>
    <x v="15"/>
    <n v="6"/>
    <n v="500"/>
    <n v="3000"/>
    <s v="مزرعة الطماطم"/>
    <m/>
    <x v="121"/>
  </r>
  <r>
    <x v="60"/>
    <n v="1"/>
    <n v="200"/>
    <n v="200"/>
    <s v="محل "/>
    <m/>
    <x v="121"/>
  </r>
  <r>
    <x v="12"/>
    <n v="1"/>
    <n v="300"/>
    <n v="300"/>
    <s v="محل "/>
    <m/>
    <x v="121"/>
  </r>
  <r>
    <x v="89"/>
    <n v="0.25"/>
    <n v="200"/>
    <n v="50"/>
    <s v="محل "/>
    <m/>
    <x v="121"/>
  </r>
  <r>
    <x v="60"/>
    <n v="0.3"/>
    <n v="200"/>
    <n v="60"/>
    <s v="محل "/>
    <m/>
    <x v="121"/>
  </r>
  <r>
    <x v="50"/>
    <n v="1"/>
    <n v="300"/>
    <n v="300"/>
    <s v="محل "/>
    <m/>
    <x v="121"/>
  </r>
  <r>
    <x v="59"/>
    <n v="1"/>
    <n v="300"/>
    <n v="300"/>
    <s v="محل "/>
    <m/>
    <x v="122"/>
  </r>
  <r>
    <x v="60"/>
    <n v="1"/>
    <n v="200"/>
    <n v="200"/>
    <s v="محل "/>
    <m/>
    <x v="122"/>
  </r>
  <r>
    <x v="60"/>
    <n v="0.7"/>
    <n v="200"/>
    <n v="140"/>
    <s v="محل "/>
    <m/>
    <x v="123"/>
  </r>
  <r>
    <x v="82"/>
    <n v="1"/>
    <n v="200"/>
    <n v="200"/>
    <s v="محل "/>
    <m/>
    <x v="123"/>
  </r>
  <r>
    <x v="95"/>
    <n v="1"/>
    <n v="100"/>
    <n v="100"/>
    <s v="محل "/>
    <m/>
    <x v="123"/>
  </r>
  <r>
    <x v="4"/>
    <n v="3"/>
    <n v="15"/>
    <n v="45"/>
    <s v="محل "/>
    <m/>
    <x v="123"/>
  </r>
  <r>
    <x v="50"/>
    <n v="1"/>
    <n v="300"/>
    <n v="300"/>
    <s v="محل "/>
    <m/>
    <x v="123"/>
  </r>
  <r>
    <x v="89"/>
    <n v="1.7"/>
    <n v="200"/>
    <n v="340"/>
    <s v="محل "/>
    <m/>
    <x v="124"/>
  </r>
  <r>
    <x v="60"/>
    <n v="0.5"/>
    <n v="160"/>
    <n v="80"/>
    <s v="محل "/>
    <m/>
    <x v="124"/>
  </r>
  <r>
    <x v="12"/>
    <n v="0.1666"/>
    <n v="300"/>
    <n v="49.98"/>
    <s v="محل "/>
    <m/>
    <x v="124"/>
  </r>
  <r>
    <x v="89"/>
    <n v="2"/>
    <n v="1800"/>
    <n v="3600"/>
    <s v="مصطفي عبد التواب"/>
    <m/>
    <x v="124"/>
  </r>
  <r>
    <x v="0"/>
    <n v="1"/>
    <n v="500"/>
    <n v="500"/>
    <s v="مزرعة الكانتلوب"/>
    <m/>
    <x v="125"/>
  </r>
  <r>
    <x v="59"/>
    <n v="1"/>
    <n v="300"/>
    <n v="300"/>
    <s v="مزرعة الكانتلوب"/>
    <m/>
    <x v="125"/>
  </r>
  <r>
    <x v="4"/>
    <n v="1"/>
    <n v="15"/>
    <n v="15"/>
    <s v="محل "/>
    <m/>
    <x v="125"/>
  </r>
  <r>
    <x v="97"/>
    <n v="2"/>
    <n v="25"/>
    <n v="50"/>
    <s v="مزرعة الكانتلوب"/>
    <m/>
    <x v="126"/>
  </r>
  <r>
    <x v="24"/>
    <n v="5"/>
    <n v="1700"/>
    <n v="8500"/>
    <s v="مزرعة الكانتلوب"/>
    <m/>
    <x v="126"/>
  </r>
  <r>
    <x v="25"/>
    <n v="5"/>
    <n v="1000"/>
    <n v="5000"/>
    <s v="مزرعة الكانتلوب"/>
    <m/>
    <x v="126"/>
  </r>
  <r>
    <x v="15"/>
    <n v="5"/>
    <n v="1500"/>
    <n v="7500"/>
    <s v="مزرعة الكانتلوب"/>
    <m/>
    <x v="126"/>
  </r>
  <r>
    <x v="93"/>
    <n v="5"/>
    <n v="1600"/>
    <n v="8000"/>
    <s v="مزرعة الكانتلوب"/>
    <m/>
    <x v="126"/>
  </r>
  <r>
    <x v="11"/>
    <n v="10"/>
    <n v="700"/>
    <n v="7000"/>
    <s v="مزرعة الكانتلوب"/>
    <m/>
    <x v="126"/>
  </r>
  <r>
    <x v="3"/>
    <n v="6"/>
    <n v="220"/>
    <n v="1320"/>
    <s v="مزرعة الكانتلوب"/>
    <m/>
    <x v="126"/>
  </r>
  <r>
    <x v="53"/>
    <n v="5"/>
    <n v="750"/>
    <n v="3750"/>
    <s v="مزرعة الكانتلوب"/>
    <m/>
    <x v="126"/>
  </r>
  <r>
    <x v="5"/>
    <n v="3"/>
    <n v="350"/>
    <n v="1050"/>
    <s v="مزرعة الكانتلوب"/>
    <m/>
    <x v="126"/>
  </r>
  <r>
    <x v="98"/>
    <n v="50"/>
    <n v="1000"/>
    <n v="50000"/>
    <s v="مزرعة الكانتلوب"/>
    <m/>
    <x v="126"/>
  </r>
  <r>
    <x v="33"/>
    <n v="5"/>
    <n v="250"/>
    <n v="1250"/>
    <s v="مزرعة الكانتلوب"/>
    <m/>
    <x v="126"/>
  </r>
  <r>
    <x v="87"/>
    <n v="5"/>
    <n v="100"/>
    <n v="500"/>
    <s v="مزرعة الكانتلوب"/>
    <m/>
    <x v="126"/>
  </r>
  <r>
    <x v="60"/>
    <n v="5"/>
    <n v="350"/>
    <n v="1750"/>
    <s v="مزرعة الكانتلوب"/>
    <m/>
    <x v="126"/>
  </r>
  <r>
    <x v="96"/>
    <n v="5"/>
    <n v="350"/>
    <n v="1750"/>
    <s v="مزرعة الكانتلوب"/>
    <m/>
    <x v="126"/>
  </r>
  <r>
    <x v="99"/>
    <n v="5"/>
    <n v="350"/>
    <n v="1750"/>
    <s v="مزرعة الكانتلوب"/>
    <m/>
    <x v="126"/>
  </r>
  <r>
    <x v="90"/>
    <n v="5"/>
    <n v="350"/>
    <n v="1750"/>
    <s v="مزرعة الكانتلوب"/>
    <m/>
    <x v="126"/>
  </r>
  <r>
    <x v="18"/>
    <n v="3"/>
    <n v="300"/>
    <n v="900"/>
    <s v="مزرعة الكانتلوب"/>
    <m/>
    <x v="126"/>
  </r>
  <r>
    <x v="20"/>
    <n v="3"/>
    <n v="300"/>
    <n v="900"/>
    <s v="مزرعة الكانتلوب"/>
    <m/>
    <x v="126"/>
  </r>
  <r>
    <x v="12"/>
    <n v="3"/>
    <n v="400"/>
    <n v="1200"/>
    <s v="مزرعة الكانتلوب"/>
    <m/>
    <x v="126"/>
  </r>
  <r>
    <x v="51"/>
    <n v="3"/>
    <n v="400"/>
    <n v="1200"/>
    <s v="مزرعة الكانتلوب"/>
    <m/>
    <x v="126"/>
  </r>
  <r>
    <x v="40"/>
    <n v="3"/>
    <n v="300"/>
    <n v="900"/>
    <s v="مزرعة الكانتلوب"/>
    <m/>
    <x v="126"/>
  </r>
  <r>
    <x v="22"/>
    <n v="3"/>
    <n v="300"/>
    <n v="900"/>
    <s v="مزرعة الكانتلوب"/>
    <m/>
    <x v="126"/>
  </r>
  <r>
    <x v="56"/>
    <n v="3"/>
    <n v="350"/>
    <n v="1050"/>
    <s v="مزرعة الكانتلوب"/>
    <m/>
    <x v="126"/>
  </r>
  <r>
    <x v="18"/>
    <n v="3"/>
    <n v="300"/>
    <n v="900"/>
    <s v="محل "/>
    <m/>
    <x v="126"/>
  </r>
  <r>
    <x v="11"/>
    <n v="5"/>
    <n v="90"/>
    <n v="450"/>
    <s v="محل "/>
    <m/>
    <x v="126"/>
  </r>
  <r>
    <x v="12"/>
    <n v="0.66669999999999996"/>
    <n v="300"/>
    <n v="200.01"/>
    <s v="محل "/>
    <m/>
    <x v="127"/>
  </r>
  <r>
    <x v="60"/>
    <n v="1"/>
    <n v="150"/>
    <n v="150"/>
    <s v="محل "/>
    <m/>
    <x v="127"/>
  </r>
  <r>
    <x v="89"/>
    <n v="0.5"/>
    <n v="180"/>
    <n v="90"/>
    <s v="محل "/>
    <m/>
    <x v="127"/>
  </r>
  <r>
    <x v="100"/>
    <n v="4"/>
    <n v="60"/>
    <n v="240"/>
    <s v="محل "/>
    <m/>
    <x v="127"/>
  </r>
  <r>
    <x v="96"/>
    <n v="2"/>
    <n v="175"/>
    <n v="350"/>
    <s v="محل "/>
    <m/>
    <x v="128"/>
  </r>
  <r>
    <x v="100"/>
    <n v="4"/>
    <n v="70"/>
    <n v="280"/>
    <s v="محل "/>
    <m/>
    <x v="128"/>
  </r>
  <r>
    <x v="101"/>
    <n v="1"/>
    <n v="175"/>
    <n v="175"/>
    <s v="محل "/>
    <m/>
    <x v="129"/>
  </r>
  <r>
    <x v="12"/>
    <n v="0.16600000000000001"/>
    <n v="300"/>
    <n v="49.800000000000004"/>
    <s v="محل "/>
    <m/>
    <x v="129"/>
  </r>
  <r>
    <x v="60"/>
    <n v="0.1"/>
    <n v="400"/>
    <n v="40"/>
    <s v="محل "/>
    <m/>
    <x v="129"/>
  </r>
  <r>
    <x v="4"/>
    <n v="1"/>
    <n v="15"/>
    <n v="15"/>
    <s v="محل "/>
    <m/>
    <x v="129"/>
  </r>
  <r>
    <x v="100"/>
    <n v="1"/>
    <n v="60"/>
    <n v="60"/>
    <s v="محل "/>
    <m/>
    <x v="130"/>
  </r>
  <r>
    <x v="7"/>
    <n v="1"/>
    <n v="15"/>
    <n v="15"/>
    <s v="محل "/>
    <m/>
    <x v="130"/>
  </r>
  <r>
    <x v="34"/>
    <n v="1"/>
    <n v="80"/>
    <n v="80"/>
    <s v="محل "/>
    <m/>
    <x v="130"/>
  </r>
  <r>
    <x v="97"/>
    <n v="2"/>
    <n v="25"/>
    <n v="50"/>
    <s v="محل "/>
    <m/>
    <x v="130"/>
  </r>
  <r>
    <x v="100"/>
    <n v="1"/>
    <n v="70"/>
    <n v="70"/>
    <s v="محل "/>
    <m/>
    <x v="130"/>
  </r>
  <r>
    <x v="60"/>
    <n v="0.1"/>
    <n v="450"/>
    <n v="45"/>
    <s v="محل "/>
    <m/>
    <x v="131"/>
  </r>
  <r>
    <x v="12"/>
    <n v="0.16600000000000001"/>
    <n v="300"/>
    <n v="49.800000000000004"/>
    <s v="محل "/>
    <m/>
    <x v="131"/>
  </r>
  <r>
    <x v="33"/>
    <n v="1"/>
    <n v="200"/>
    <n v="200"/>
    <s v="محل "/>
    <m/>
    <x v="131"/>
  </r>
  <r>
    <x v="51"/>
    <n v="0.5"/>
    <n v="300"/>
    <n v="150"/>
    <s v="محل "/>
    <m/>
    <x v="131"/>
  </r>
  <r>
    <x v="60"/>
    <n v="0.3"/>
    <n v="100"/>
    <n v="30"/>
    <s v="محل "/>
    <m/>
    <x v="131"/>
  </r>
  <r>
    <x v="33"/>
    <n v="1"/>
    <n v="150"/>
    <n v="150"/>
    <s v="محل "/>
    <m/>
    <x v="131"/>
  </r>
  <r>
    <x v="101"/>
    <n v="1"/>
    <n v="150"/>
    <n v="150"/>
    <s v="محل "/>
    <m/>
    <x v="131"/>
  </r>
  <r>
    <x v="100"/>
    <n v="3"/>
    <n v="66.599999999999994"/>
    <n v="199.79999999999998"/>
    <s v="محل "/>
    <m/>
    <x v="131"/>
  </r>
  <r>
    <x v="1"/>
    <n v="1"/>
    <n v="150"/>
    <n v="150"/>
    <s v="محل "/>
    <m/>
    <x v="131"/>
  </r>
  <r>
    <x v="89"/>
    <n v="3.5"/>
    <n v="157"/>
    <n v="549.5"/>
    <s v="محل "/>
    <m/>
    <x v="132"/>
  </r>
  <r>
    <x v="82"/>
    <n v="2"/>
    <n v="250"/>
    <n v="500"/>
    <s v="محل "/>
    <m/>
    <x v="132"/>
  </r>
  <r>
    <x v="101"/>
    <n v="1"/>
    <n v="175"/>
    <n v="175"/>
    <s v="محل "/>
    <m/>
    <x v="132"/>
  </r>
  <r>
    <x v="33"/>
    <n v="1"/>
    <n v="175"/>
    <n v="175"/>
    <s v="محل "/>
    <m/>
    <x v="132"/>
  </r>
  <r>
    <x v="96"/>
    <n v="1"/>
    <n v="150"/>
    <n v="150"/>
    <s v="محل "/>
    <m/>
    <x v="133"/>
  </r>
  <r>
    <x v="89"/>
    <n v="0.5"/>
    <n v="200"/>
    <n v="100"/>
    <s v="محل "/>
    <m/>
    <x v="133"/>
  </r>
  <r>
    <x v="28"/>
    <n v="1"/>
    <n v="150"/>
    <n v="150"/>
    <s v="محل "/>
    <m/>
    <x v="133"/>
  </r>
  <r>
    <x v="60"/>
    <n v="0.5"/>
    <n v="200"/>
    <n v="100"/>
    <s v="محل "/>
    <m/>
    <x v="133"/>
  </r>
  <r>
    <x v="83"/>
    <n v="1"/>
    <n v="200"/>
    <n v="200"/>
    <s v="محل "/>
    <m/>
    <x v="134"/>
  </r>
  <r>
    <x v="99"/>
    <n v="1"/>
    <n v="180"/>
    <n v="180"/>
    <s v="محل "/>
    <m/>
    <x v="134"/>
  </r>
  <r>
    <x v="89"/>
    <n v="1"/>
    <n v="170"/>
    <n v="170"/>
    <s v="محل "/>
    <m/>
    <x v="134"/>
  </r>
  <r>
    <x v="82"/>
    <n v="1"/>
    <n v="300"/>
    <n v="300"/>
    <s v="محل "/>
    <m/>
    <x v="134"/>
  </r>
  <r>
    <x v="100"/>
    <n v="1"/>
    <n v="60"/>
    <n v="60"/>
    <s v="محل "/>
    <m/>
    <x v="134"/>
  </r>
  <r>
    <x v="100"/>
    <n v="4"/>
    <n v="60"/>
    <n v="240"/>
    <s v="محل "/>
    <m/>
    <x v="135"/>
  </r>
  <r>
    <x v="36"/>
    <n v="1"/>
    <n v="400"/>
    <n v="400"/>
    <s v="محل "/>
    <m/>
    <x v="135"/>
  </r>
  <r>
    <x v="89"/>
    <n v="0.25"/>
    <n v="200"/>
    <n v="50"/>
    <s v="محل "/>
    <m/>
    <x v="135"/>
  </r>
  <r>
    <x v="4"/>
    <n v="2"/>
    <n v="15"/>
    <n v="30"/>
    <s v="محل "/>
    <m/>
    <x v="135"/>
  </r>
  <r>
    <x v="50"/>
    <n v="1"/>
    <n v="300"/>
    <n v="300"/>
    <s v="محل "/>
    <m/>
    <x v="135"/>
  </r>
  <r>
    <x v="89"/>
    <n v="1"/>
    <n v="180"/>
    <n v="180"/>
    <s v="محل "/>
    <m/>
    <x v="135"/>
  </r>
  <r>
    <x v="100"/>
    <n v="6"/>
    <n v="60"/>
    <n v="360"/>
    <s v="محل "/>
    <m/>
    <x v="136"/>
  </r>
  <r>
    <x v="7"/>
    <n v="2"/>
    <n v="15"/>
    <n v="30"/>
    <s v="محل "/>
    <m/>
    <x v="137"/>
  </r>
  <r>
    <x v="4"/>
    <n v="1"/>
    <n v="15"/>
    <n v="15"/>
    <s v="محل "/>
    <m/>
    <x v="137"/>
  </r>
  <r>
    <x v="98"/>
    <n v="20"/>
    <n v="430"/>
    <n v="8600"/>
    <s v="الحج علي ملاوي"/>
    <m/>
    <x v="138"/>
  </r>
  <r>
    <x v="15"/>
    <n v="10"/>
    <n v="800"/>
    <n v="8000"/>
    <s v="الحج علي ملاوي"/>
    <m/>
    <x v="138"/>
  </r>
  <r>
    <x v="25"/>
    <n v="10"/>
    <n v="600"/>
    <n v="6000"/>
    <s v="الحج علي ملاوي"/>
    <m/>
    <x v="138"/>
  </r>
  <r>
    <x v="24"/>
    <n v="10"/>
    <n v="800"/>
    <n v="8000"/>
    <s v="الحج علي ملاوي"/>
    <m/>
    <x v="138"/>
  </r>
  <r>
    <x v="93"/>
    <n v="10"/>
    <n v="850"/>
    <n v="8500"/>
    <s v="الحج علي ملاوي"/>
    <m/>
    <x v="138"/>
  </r>
  <r>
    <x v="36"/>
    <n v="5"/>
    <n v="600"/>
    <n v="3000"/>
    <s v="الحج علي ملاوي"/>
    <m/>
    <x v="138"/>
  </r>
  <r>
    <x v="51"/>
    <n v="5"/>
    <n v="245"/>
    <n v="1225"/>
    <s v="الحج علي ملاوي"/>
    <m/>
    <x v="138"/>
  </r>
  <r>
    <x v="12"/>
    <n v="5"/>
    <n v="240"/>
    <n v="1200"/>
    <s v="الحج علي ملاوي"/>
    <m/>
    <x v="138"/>
  </r>
  <r>
    <x v="67"/>
    <n v="5"/>
    <n v="520"/>
    <n v="2600"/>
    <s v="الحج علي ملاوي"/>
    <m/>
    <x v="138"/>
  </r>
  <r>
    <x v="56"/>
    <n v="10"/>
    <n v="320"/>
    <n v="3200"/>
    <s v="الحج علي ملاوي"/>
    <m/>
    <x v="138"/>
  </r>
  <r>
    <x v="37"/>
    <n v="5"/>
    <n v="240"/>
    <n v="1200"/>
    <s v="الحج علي ملاوي"/>
    <m/>
    <x v="138"/>
  </r>
  <r>
    <x v="21"/>
    <n v="12"/>
    <n v="225"/>
    <n v="2700"/>
    <s v="الحج علي ملاوي"/>
    <m/>
    <x v="138"/>
  </r>
  <r>
    <x v="40"/>
    <n v="12"/>
    <n v="190"/>
    <n v="2280"/>
    <s v="الحج علي ملاوي"/>
    <m/>
    <x v="138"/>
  </r>
  <r>
    <x v="58"/>
    <n v="12"/>
    <n v="220"/>
    <n v="2640"/>
    <s v="الحج علي ملاوي"/>
    <m/>
    <x v="138"/>
  </r>
  <r>
    <x v="11"/>
    <n v="10"/>
    <n v="550"/>
    <n v="5500"/>
    <s v="الحج علي ملاوي"/>
    <m/>
    <x v="138"/>
  </r>
  <r>
    <x v="89"/>
    <n v="5"/>
    <n v="2700"/>
    <n v="13500"/>
    <s v="الحج علي ملاوي"/>
    <m/>
    <x v="138"/>
  </r>
  <r>
    <x v="18"/>
    <n v="12"/>
    <n v="250"/>
    <n v="3000"/>
    <s v="الحج علي ملاوي"/>
    <m/>
    <x v="138"/>
  </r>
  <r>
    <x v="60"/>
    <n v="10"/>
    <n v="200"/>
    <n v="2000"/>
    <s v="الحج علي ملاوي"/>
    <m/>
    <x v="138"/>
  </r>
  <r>
    <x v="96"/>
    <n v="10"/>
    <n v="230"/>
    <n v="2300"/>
    <s v="الحج علي ملاوي"/>
    <m/>
    <x v="138"/>
  </r>
  <r>
    <x v="99"/>
    <n v="10"/>
    <n v="240"/>
    <n v="2400"/>
    <s v="الحج علي ملاوي"/>
    <m/>
    <x v="138"/>
  </r>
  <r>
    <x v="90"/>
    <n v="10"/>
    <n v="225"/>
    <n v="2250"/>
    <s v="الحج علي ملاوي"/>
    <m/>
    <x v="138"/>
  </r>
  <r>
    <x v="94"/>
    <n v="5"/>
    <n v="235"/>
    <n v="1175"/>
    <s v="الحج علي ملاوي"/>
    <m/>
    <x v="138"/>
  </r>
  <r>
    <x v="102"/>
    <n v="5"/>
    <n v="245"/>
    <n v="1225"/>
    <s v="الحج علي ملاوي"/>
    <m/>
    <x v="138"/>
  </r>
  <r>
    <x v="103"/>
    <n v="4"/>
    <n v="1100"/>
    <n v="4400"/>
    <s v="الحج علي ملاوي"/>
    <m/>
    <x v="138"/>
  </r>
  <r>
    <x v="59"/>
    <n v="12"/>
    <n v="170"/>
    <n v="2040"/>
    <s v="الحج علي ملاوي"/>
    <m/>
    <x v="138"/>
  </r>
  <r>
    <x v="19"/>
    <n v="12"/>
    <n v="160"/>
    <n v="1920"/>
    <s v="الحج علي ملاوي"/>
    <m/>
    <x v="138"/>
  </r>
  <r>
    <x v="20"/>
    <n v="12"/>
    <n v="190"/>
    <n v="2280"/>
    <s v="الحج علي ملاوي"/>
    <m/>
    <x v="138"/>
  </r>
  <r>
    <x v="82"/>
    <n v="5"/>
    <n v="210"/>
    <n v="1050"/>
    <s v="الحج علي ملاوي"/>
    <m/>
    <x v="138"/>
  </r>
  <r>
    <x v="100"/>
    <n v="9"/>
    <n v="60"/>
    <n v="540"/>
    <s v="محل "/>
    <m/>
    <x v="139"/>
  </r>
  <r>
    <x v="89"/>
    <n v="0.25"/>
    <n v="200"/>
    <n v="50"/>
    <s v="محل "/>
    <m/>
    <x v="140"/>
  </r>
  <r>
    <x v="100"/>
    <n v="1"/>
    <n v="65"/>
    <n v="65"/>
    <s v="محل "/>
    <m/>
    <x v="141"/>
  </r>
  <r>
    <x v="5"/>
    <n v="1"/>
    <n v="250"/>
    <n v="250"/>
    <s v="محل "/>
    <m/>
    <x v="141"/>
  </r>
  <r>
    <x v="60"/>
    <n v="10"/>
    <n v="120"/>
    <n v="1200"/>
    <s v="محل "/>
    <m/>
    <x v="141"/>
  </r>
  <r>
    <x v="96"/>
    <n v="10"/>
    <n v="175"/>
    <n v="1750"/>
    <s v="محل "/>
    <m/>
    <x v="141"/>
  </r>
  <r>
    <x v="99"/>
    <n v="10"/>
    <n v="175"/>
    <n v="1750"/>
    <s v="محل "/>
    <m/>
    <x v="141"/>
  </r>
  <r>
    <x v="34"/>
    <n v="1"/>
    <n v="100"/>
    <n v="100"/>
    <s v="محل "/>
    <s v="آجل"/>
    <x v="142"/>
  </r>
  <r>
    <x v="1"/>
    <n v="2"/>
    <n v="170"/>
    <n v="340"/>
    <s v="محل "/>
    <s v="آجل"/>
    <x v="142"/>
  </r>
  <r>
    <x v="3"/>
    <n v="1"/>
    <n v="170"/>
    <n v="170"/>
    <s v="محل "/>
    <s v="آجل"/>
    <x v="142"/>
  </r>
  <r>
    <x v="104"/>
    <n v="2"/>
    <n v="750"/>
    <n v="1500"/>
    <s v="محل "/>
    <s v="آجل"/>
    <x v="142"/>
  </r>
  <r>
    <x v="100"/>
    <n v="2"/>
    <n v="60"/>
    <n v="120"/>
    <s v="محل "/>
    <m/>
    <x v="143"/>
  </r>
  <r>
    <x v="33"/>
    <n v="1"/>
    <n v="170"/>
    <n v="170"/>
    <s v="محل "/>
    <m/>
    <x v="143"/>
  </r>
  <r>
    <x v="51"/>
    <n v="0.3"/>
    <n v="300"/>
    <n v="90"/>
    <s v="محل "/>
    <m/>
    <x v="144"/>
  </r>
  <r>
    <x v="11"/>
    <n v="5"/>
    <n v="700"/>
    <n v="3500"/>
    <s v="مزرعة الكانتلوب"/>
    <m/>
    <x v="144"/>
  </r>
  <r>
    <x v="89"/>
    <n v="2"/>
    <n v="3500"/>
    <n v="7000"/>
    <s v="مزرعة الكانتلوب"/>
    <m/>
    <x v="144"/>
  </r>
  <r>
    <x v="96"/>
    <n v="10"/>
    <n v="350"/>
    <n v="3500"/>
    <s v="مزرعة الكانتلوب"/>
    <m/>
    <x v="144"/>
  </r>
  <r>
    <x v="99"/>
    <n v="10"/>
    <n v="350"/>
    <n v="3500"/>
    <s v="مزرعة الكانتلوب"/>
    <m/>
    <x v="144"/>
  </r>
  <r>
    <x v="60"/>
    <n v="10"/>
    <n v="350"/>
    <n v="3500"/>
    <s v="مزرعة الكانتلوب"/>
    <m/>
    <x v="144"/>
  </r>
  <r>
    <x v="40"/>
    <n v="24"/>
    <n v="300"/>
    <n v="7200"/>
    <s v="مزرعة الكانتلوب"/>
    <m/>
    <x v="144"/>
  </r>
  <r>
    <x v="25"/>
    <n v="7"/>
    <n v="1000"/>
    <n v="7000"/>
    <s v="مزرعة الكانتلوب"/>
    <m/>
    <x v="144"/>
  </r>
  <r>
    <x v="15"/>
    <n v="7"/>
    <n v="1500"/>
    <n v="10500"/>
    <s v="مزرعة الكانتلوب"/>
    <m/>
    <x v="144"/>
  </r>
  <r>
    <x v="93"/>
    <n v="7"/>
    <n v="1600"/>
    <n v="11200"/>
    <s v="مزرعة الكانتلوب"/>
    <m/>
    <x v="144"/>
  </r>
  <r>
    <x v="24"/>
    <n v="7"/>
    <n v="1700"/>
    <n v="11900"/>
    <s v="مزرعة الكانتلوب"/>
    <m/>
    <x v="144"/>
  </r>
  <r>
    <x v="51"/>
    <n v="0.4"/>
    <n v="300"/>
    <n v="120"/>
    <s v="محل "/>
    <m/>
    <x v="145"/>
  </r>
  <r>
    <x v="7"/>
    <n v="2"/>
    <n v="15"/>
    <n v="30"/>
    <s v="محل "/>
    <m/>
    <x v="145"/>
  </r>
  <r>
    <x v="4"/>
    <n v="4"/>
    <n v="15"/>
    <n v="60"/>
    <s v="محل "/>
    <m/>
    <x v="146"/>
  </r>
  <r>
    <x v="2"/>
    <n v="1"/>
    <n v="80"/>
    <n v="80"/>
    <s v="محل "/>
    <m/>
    <x v="146"/>
  </r>
  <r>
    <x v="50"/>
    <n v="1"/>
    <n v="300"/>
    <n v="300"/>
    <s v="محل "/>
    <m/>
    <x v="147"/>
  </r>
  <r>
    <x v="51"/>
    <n v="0.3"/>
    <n v="300"/>
    <n v="90"/>
    <s v="محل "/>
    <m/>
    <x v="147"/>
  </r>
  <r>
    <x v="96"/>
    <n v="0.1"/>
    <n v="250"/>
    <n v="25"/>
    <s v="محل "/>
    <m/>
    <x v="147"/>
  </r>
  <r>
    <x v="7"/>
    <n v="2"/>
    <n v="30"/>
    <n v="60"/>
    <s v="محل "/>
    <m/>
    <x v="148"/>
  </r>
  <r>
    <x v="4"/>
    <n v="1"/>
    <n v="15"/>
    <n v="15"/>
    <s v="محل "/>
    <m/>
    <x v="148"/>
  </r>
  <r>
    <x v="93"/>
    <n v="10"/>
    <n v="1450"/>
    <n v="14500"/>
    <s v="مزرعة الطماطم"/>
    <m/>
    <x v="149"/>
  </r>
  <r>
    <x v="25"/>
    <n v="10"/>
    <n v="1250"/>
    <n v="12500"/>
    <s v="مزرعة الطماطم"/>
    <m/>
    <x v="149"/>
  </r>
  <r>
    <x v="15"/>
    <n v="10"/>
    <n v="500"/>
    <n v="5000"/>
    <s v="مزرعة الطماطم"/>
    <m/>
    <x v="149"/>
  </r>
  <r>
    <x v="11"/>
    <n v="10"/>
    <n v="800"/>
    <n v="8000"/>
    <s v="مزرعة الطماطم"/>
    <m/>
    <x v="149"/>
  </r>
  <r>
    <x v="96"/>
    <n v="0.3"/>
    <n v="232"/>
    <n v="69.599999999999994"/>
    <s v="محل "/>
    <m/>
    <x v="149"/>
  </r>
  <r>
    <x v="89"/>
    <n v="0.25"/>
    <n v="200"/>
    <n v="50"/>
    <s v="محل "/>
    <m/>
    <x v="149"/>
  </r>
  <r>
    <x v="51"/>
    <n v="0.2"/>
    <n v="350"/>
    <n v="70"/>
    <s v="محل "/>
    <m/>
    <x v="150"/>
  </r>
  <r>
    <x v="4"/>
    <n v="4"/>
    <n v="15"/>
    <n v="60"/>
    <s v="محل "/>
    <m/>
    <x v="151"/>
  </r>
  <r>
    <x v="7"/>
    <n v="2"/>
    <n v="15"/>
    <n v="30"/>
    <s v="محل "/>
    <m/>
    <x v="152"/>
  </r>
  <r>
    <x v="4"/>
    <n v="8"/>
    <n v="15"/>
    <n v="120"/>
    <s v="محل "/>
    <m/>
    <x v="152"/>
  </r>
  <r>
    <x v="51"/>
    <n v="0.26"/>
    <n v="1080"/>
    <n v="280.8"/>
    <s v="محل "/>
    <m/>
    <x v="153"/>
  </r>
  <r>
    <x v="3"/>
    <n v="1"/>
    <n v="170"/>
    <n v="170"/>
    <s v="محل "/>
    <s v="آجل"/>
    <x v="154"/>
  </r>
  <r>
    <x v="4"/>
    <n v="1"/>
    <n v="15"/>
    <n v="15"/>
    <s v="محل "/>
    <m/>
    <x v="154"/>
  </r>
  <r>
    <x v="34"/>
    <n v="1"/>
    <n v="70"/>
    <n v="70"/>
    <s v="محل "/>
    <m/>
    <x v="155"/>
  </r>
  <r>
    <x v="5"/>
    <n v="1"/>
    <n v="250"/>
    <n v="250"/>
    <s v="محل "/>
    <m/>
    <x v="155"/>
  </r>
  <r>
    <x v="5"/>
    <n v="1"/>
    <n v="220"/>
    <n v="220"/>
    <s v="محل "/>
    <m/>
    <x v="156"/>
  </r>
  <r>
    <x v="4"/>
    <n v="1"/>
    <n v="15"/>
    <n v="15"/>
    <s v="محل "/>
    <m/>
    <x v="156"/>
  </r>
  <r>
    <x v="101"/>
    <n v="1"/>
    <n v="150"/>
    <n v="150"/>
    <s v="محل "/>
    <m/>
    <x v="156"/>
  </r>
  <r>
    <x v="89"/>
    <n v="1"/>
    <n v="180"/>
    <n v="180"/>
    <s v="محل "/>
    <m/>
    <x v="157"/>
  </r>
  <r>
    <x v="4"/>
    <n v="1"/>
    <n v="15"/>
    <n v="15"/>
    <s v="محل "/>
    <m/>
    <x v="157"/>
  </r>
  <r>
    <x v="33"/>
    <n v="3"/>
    <n v="150"/>
    <n v="450"/>
    <s v="محل "/>
    <m/>
    <x v="157"/>
  </r>
  <r>
    <x v="95"/>
    <n v="1"/>
    <n v="80"/>
    <n v="80"/>
    <s v="محل "/>
    <m/>
    <x v="157"/>
  </r>
  <r>
    <x v="27"/>
    <n v="1"/>
    <n v="100"/>
    <n v="100"/>
    <s v="محل "/>
    <m/>
    <x v="157"/>
  </r>
  <r>
    <x v="30"/>
    <n v="1"/>
    <n v="300"/>
    <n v="300"/>
    <s v="محل "/>
    <s v="آجل"/>
    <x v="157"/>
  </r>
  <r>
    <x v="5"/>
    <n v="1"/>
    <n v="230"/>
    <n v="230"/>
    <s v="محل "/>
    <m/>
    <x v="158"/>
  </r>
  <r>
    <x v="89"/>
    <n v="1"/>
    <n v="180"/>
    <n v="180"/>
    <s v="محل "/>
    <m/>
    <x v="159"/>
  </r>
  <r>
    <x v="4"/>
    <n v="2"/>
    <n v="30"/>
    <n v="60"/>
    <s v="محل "/>
    <m/>
    <x v="159"/>
  </r>
  <r>
    <x v="4"/>
    <n v="1"/>
    <n v="15"/>
    <n v="15"/>
    <s v="محل "/>
    <m/>
    <x v="160"/>
  </r>
  <r>
    <x v="60"/>
    <n v="0.5"/>
    <n v="200"/>
    <n v="100"/>
    <s v="محل "/>
    <m/>
    <x v="161"/>
  </r>
  <r>
    <x v="96"/>
    <n v="0.3"/>
    <n v="232"/>
    <n v="69.599999999999994"/>
    <s v="محل "/>
    <m/>
    <x v="161"/>
  </r>
  <r>
    <x v="5"/>
    <n v="1"/>
    <n v="200"/>
    <n v="200"/>
    <s v="محل "/>
    <m/>
    <x v="161"/>
  </r>
  <r>
    <x v="3"/>
    <n v="1"/>
    <n v="160"/>
    <n v="160"/>
    <s v="محل "/>
    <m/>
    <x v="161"/>
  </r>
  <r>
    <x v="87"/>
    <n v="1"/>
    <n v="100"/>
    <n v="100"/>
    <s v="محل "/>
    <m/>
    <x v="161"/>
  </r>
  <r>
    <x v="89"/>
    <n v="2"/>
    <n v="175"/>
    <n v="350"/>
    <s v="محل "/>
    <m/>
    <x v="161"/>
  </r>
  <r>
    <x v="27"/>
    <n v="1"/>
    <n v="110"/>
    <n v="110"/>
    <s v="محل "/>
    <m/>
    <x v="161"/>
  </r>
  <r>
    <x v="89"/>
    <n v="1"/>
    <n v="200"/>
    <n v="200"/>
    <s v="محل "/>
    <m/>
    <x v="162"/>
  </r>
  <r>
    <x v="3"/>
    <n v="1"/>
    <n v="150"/>
    <n v="150"/>
    <s v="محل "/>
    <m/>
    <x v="162"/>
  </r>
  <r>
    <x v="89"/>
    <n v="0.25"/>
    <n v="200"/>
    <n v="50"/>
    <s v="محل "/>
    <m/>
    <x v="163"/>
  </r>
  <r>
    <x v="96"/>
    <n v="0.5"/>
    <n v="220"/>
    <n v="110"/>
    <s v="محل "/>
    <m/>
    <x v="163"/>
  </r>
  <r>
    <x v="60"/>
    <n v="1"/>
    <n v="200"/>
    <n v="200"/>
    <s v="محل "/>
    <m/>
    <x v="163"/>
  </r>
  <r>
    <x v="11"/>
    <n v="1"/>
    <n v="120"/>
    <n v="120"/>
    <s v="محل "/>
    <m/>
    <x v="163"/>
  </r>
  <r>
    <x v="50"/>
    <n v="1"/>
    <n v="270"/>
    <n v="270"/>
    <s v="محل "/>
    <m/>
    <x v="164"/>
  </r>
  <r>
    <x v="89"/>
    <n v="2"/>
    <n v="200"/>
    <n v="400"/>
    <s v="محل "/>
    <m/>
    <x v="165"/>
  </r>
  <r>
    <x v="7"/>
    <n v="3"/>
    <n v="17"/>
    <n v="51"/>
    <s v="محل "/>
    <m/>
    <x v="165"/>
  </r>
  <r>
    <x v="5"/>
    <n v="1"/>
    <n v="210"/>
    <n v="210"/>
    <s v="محل "/>
    <m/>
    <x v="165"/>
  </r>
  <r>
    <x v="7"/>
    <n v="1"/>
    <n v="16"/>
    <n v="16"/>
    <s v="محل "/>
    <m/>
    <x v="166"/>
  </r>
  <r>
    <x v="3"/>
    <n v="1"/>
    <n v="150"/>
    <n v="150"/>
    <s v="محل "/>
    <m/>
    <x v="166"/>
  </r>
  <r>
    <x v="11"/>
    <n v="1"/>
    <n v="100"/>
    <n v="100"/>
    <s v="محل "/>
    <m/>
    <x v="166"/>
  </r>
  <r>
    <x v="87"/>
    <n v="1"/>
    <n v="110"/>
    <n v="110"/>
    <s v="محل "/>
    <m/>
    <x v="167"/>
  </r>
  <r>
    <x v="21"/>
    <n v="4"/>
    <n v="400"/>
    <n v="1600"/>
    <s v="مزرعة الطماطم"/>
    <m/>
    <x v="168"/>
  </r>
  <r>
    <x v="60"/>
    <n v="0.5"/>
    <n v="220"/>
    <n v="110"/>
    <s v="محل "/>
    <m/>
    <x v="169"/>
  </r>
  <r>
    <x v="3"/>
    <n v="2"/>
    <n v="155"/>
    <n v="310"/>
    <s v="محل "/>
    <m/>
    <x v="169"/>
  </r>
  <r>
    <x v="4"/>
    <n v="3"/>
    <n v="15"/>
    <n v="45"/>
    <s v="محل "/>
    <m/>
    <x v="169"/>
  </r>
  <r>
    <x v="96"/>
    <n v="0.3"/>
    <n v="220"/>
    <n v="66"/>
    <s v="محل "/>
    <m/>
    <x v="170"/>
  </r>
  <r>
    <x v="89"/>
    <n v="0.25"/>
    <n v="200"/>
    <n v="50"/>
    <s v="محل "/>
    <m/>
    <x v="170"/>
  </r>
  <r>
    <x v="60"/>
    <n v="0.5"/>
    <n v="200"/>
    <n v="100"/>
    <s v="محل "/>
    <m/>
    <x v="171"/>
  </r>
  <r>
    <x v="3"/>
    <n v="1"/>
    <n v="170"/>
    <n v="170"/>
    <s v="محل "/>
    <m/>
    <x v="171"/>
  </r>
  <r>
    <x v="89"/>
    <n v="1"/>
    <n v="200"/>
    <n v="200"/>
    <s v="محل "/>
    <m/>
    <x v="172"/>
  </r>
  <r>
    <x v="60"/>
    <n v="0.15"/>
    <n v="265"/>
    <n v="39.75"/>
    <s v="محل "/>
    <m/>
    <x v="172"/>
  </r>
  <r>
    <x v="33"/>
    <n v="1"/>
    <n v="150"/>
    <n v="150"/>
    <s v="محل "/>
    <m/>
    <x v="172"/>
  </r>
  <r>
    <x v="5"/>
    <n v="2"/>
    <n v="240"/>
    <n v="480"/>
    <s v="محل "/>
    <m/>
    <x v="172"/>
  </r>
  <r>
    <x v="5"/>
    <n v="1"/>
    <n v="240"/>
    <n v="240"/>
    <s v="محل "/>
    <m/>
    <x v="173"/>
  </r>
  <r>
    <x v="5"/>
    <n v="1"/>
    <n v="300"/>
    <n v="300"/>
    <s v="محل "/>
    <m/>
    <x v="174"/>
  </r>
  <r>
    <x v="97"/>
    <n v="1"/>
    <n v="50"/>
    <n v="50"/>
    <s v="محل "/>
    <m/>
    <x v="175"/>
  </r>
  <r>
    <x v="7"/>
    <n v="10"/>
    <n v="14"/>
    <n v="140"/>
    <s v="محل "/>
    <m/>
    <x v="175"/>
  </r>
  <r>
    <x v="89"/>
    <n v="1.5"/>
    <n v="200"/>
    <n v="300"/>
    <s v="محل "/>
    <m/>
    <x v="175"/>
  </r>
  <r>
    <x v="5"/>
    <n v="1"/>
    <n v="190"/>
    <n v="190"/>
    <s v="محل "/>
    <m/>
    <x v="175"/>
  </r>
  <r>
    <x v="4"/>
    <n v="2"/>
    <n v="40"/>
    <n v="80"/>
    <s v="محل "/>
    <m/>
    <x v="175"/>
  </r>
  <r>
    <x v="7"/>
    <n v="6"/>
    <n v="15"/>
    <n v="90"/>
    <s v="محل "/>
    <m/>
    <x v="176"/>
  </r>
  <r>
    <x v="17"/>
    <n v="1"/>
    <n v="250"/>
    <n v="250"/>
    <s v="محل "/>
    <m/>
    <x v="176"/>
  </r>
  <r>
    <x v="27"/>
    <n v="1"/>
    <n v="100"/>
    <n v="100"/>
    <s v="محل "/>
    <m/>
    <x v="176"/>
  </r>
  <r>
    <x v="5"/>
    <n v="1"/>
    <n v="240"/>
    <n v="240"/>
    <s v="محل "/>
    <m/>
    <x v="177"/>
  </r>
  <r>
    <x v="7"/>
    <n v="11"/>
    <n v="19"/>
    <n v="209"/>
    <s v="محل "/>
    <m/>
    <x v="177"/>
  </r>
  <r>
    <x v="101"/>
    <n v="1"/>
    <n v="150"/>
    <n v="150"/>
    <s v="محل "/>
    <m/>
    <x v="177"/>
  </r>
  <r>
    <x v="96"/>
    <n v="0.6"/>
    <n v="230"/>
    <n v="138"/>
    <s v="محل "/>
    <m/>
    <x v="178"/>
  </r>
  <r>
    <x v="33"/>
    <n v="1"/>
    <n v="170"/>
    <n v="170"/>
    <s v="محل "/>
    <m/>
    <x v="178"/>
  </r>
  <r>
    <x v="7"/>
    <n v="4"/>
    <n v="18"/>
    <n v="72"/>
    <s v="محل "/>
    <m/>
    <x v="178"/>
  </r>
  <r>
    <x v="17"/>
    <n v="1"/>
    <n v="250"/>
    <n v="250"/>
    <s v="محل "/>
    <m/>
    <x v="178"/>
  </r>
  <r>
    <x v="44"/>
    <n v="1"/>
    <n v="200"/>
    <n v="200"/>
    <s v="محل "/>
    <m/>
    <x v="178"/>
  </r>
  <r>
    <x v="60"/>
    <n v="0.5"/>
    <n v="200"/>
    <n v="100"/>
    <s v="محل "/>
    <m/>
    <x v="179"/>
  </r>
  <r>
    <x v="89"/>
    <n v="0.25"/>
    <n v="200"/>
    <n v="50"/>
    <s v="محل "/>
    <m/>
    <x v="179"/>
  </r>
  <r>
    <x v="7"/>
    <n v="5"/>
    <n v="20"/>
    <n v="100"/>
    <s v="محل "/>
    <m/>
    <x v="179"/>
  </r>
  <r>
    <x v="7"/>
    <n v="9"/>
    <n v="20"/>
    <n v="180"/>
    <s v="محل "/>
    <m/>
    <x v="179"/>
  </r>
  <r>
    <x v="7"/>
    <n v="8"/>
    <n v="20"/>
    <n v="160"/>
    <s v="محل "/>
    <m/>
    <x v="179"/>
  </r>
  <r>
    <x v="7"/>
    <n v="5"/>
    <n v="20"/>
    <n v="100"/>
    <s v="محل "/>
    <m/>
    <x v="179"/>
  </r>
  <r>
    <x v="4"/>
    <n v="1"/>
    <n v="20"/>
    <n v="20"/>
    <s v="محل "/>
    <m/>
    <x v="180"/>
  </r>
  <r>
    <x v="37"/>
    <n v="1"/>
    <n v="300"/>
    <n v="300"/>
    <s v="محل "/>
    <m/>
    <x v="180"/>
  </r>
  <r>
    <x v="7"/>
    <n v="2"/>
    <n v="20"/>
    <n v="40"/>
    <s v="محل "/>
    <m/>
    <x v="181"/>
  </r>
  <r>
    <x v="96"/>
    <n v="0.5"/>
    <n v="240"/>
    <n v="120"/>
    <s v="محل "/>
    <m/>
    <x v="181"/>
  </r>
  <r>
    <x v="89"/>
    <n v="0.25"/>
    <n v="200"/>
    <n v="50"/>
    <s v="محل "/>
    <m/>
    <x v="181"/>
  </r>
  <r>
    <x v="3"/>
    <n v="1"/>
    <n v="170"/>
    <n v="170"/>
    <s v="محل "/>
    <m/>
    <x v="181"/>
  </r>
  <r>
    <x v="11"/>
    <n v="1"/>
    <n v="100"/>
    <n v="100"/>
    <s v="محل "/>
    <m/>
    <x v="182"/>
  </r>
  <r>
    <x v="7"/>
    <n v="4"/>
    <n v="20"/>
    <n v="80"/>
    <s v="محل "/>
    <m/>
    <x v="182"/>
  </r>
  <r>
    <x v="4"/>
    <n v="1"/>
    <n v="20"/>
    <n v="20"/>
    <s v="محل "/>
    <m/>
    <x v="182"/>
  </r>
  <r>
    <x v="25"/>
    <n v="8"/>
    <n v="1250"/>
    <n v="10000"/>
    <s v="مزرعة الطماطم"/>
    <m/>
    <x v="182"/>
  </r>
  <r>
    <x v="15"/>
    <n v="8"/>
    <n v="1300"/>
    <n v="10400"/>
    <s v="مزرعة الطماطم"/>
    <m/>
    <x v="182"/>
  </r>
  <r>
    <x v="93"/>
    <n v="9"/>
    <n v="1450"/>
    <n v="13050"/>
    <s v="مزرعة الطماطم"/>
    <m/>
    <x v="182"/>
  </r>
  <r>
    <x v="11"/>
    <n v="10"/>
    <n v="800"/>
    <n v="8000"/>
    <s v="مزرعة الطماطم"/>
    <m/>
    <x v="182"/>
  </r>
  <r>
    <x v="96"/>
    <n v="20"/>
    <n v="300"/>
    <n v="6000"/>
    <s v="مزرعة الطماطم"/>
    <m/>
    <x v="182"/>
  </r>
  <r>
    <x v="44"/>
    <n v="15"/>
    <n v="350"/>
    <n v="5250"/>
    <s v="مزرعة الطماطم"/>
    <m/>
    <x v="182"/>
  </r>
  <r>
    <x v="89"/>
    <n v="0.5"/>
    <n v="200"/>
    <n v="100"/>
    <s v="محل "/>
    <m/>
    <x v="183"/>
  </r>
  <r>
    <x v="5"/>
    <n v="1"/>
    <n v="235"/>
    <n v="235"/>
    <s v="محل "/>
    <m/>
    <x v="183"/>
  </r>
  <r>
    <x v="27"/>
    <n v="1"/>
    <n v="120"/>
    <n v="120"/>
    <s v="محل "/>
    <m/>
    <x v="183"/>
  </r>
  <r>
    <x v="32"/>
    <n v="1"/>
    <n v="120"/>
    <n v="120"/>
    <s v="محل "/>
    <m/>
    <x v="183"/>
  </r>
  <r>
    <x v="11"/>
    <n v="1"/>
    <n v="120"/>
    <n v="120"/>
    <s v="محل "/>
    <m/>
    <x v="183"/>
  </r>
  <r>
    <x v="7"/>
    <n v="15"/>
    <n v="19"/>
    <n v="285"/>
    <s v="محل "/>
    <m/>
    <x v="184"/>
  </r>
  <r>
    <x v="34"/>
    <n v="1"/>
    <n v="80"/>
    <n v="80"/>
    <s v="محل "/>
    <m/>
    <x v="184"/>
  </r>
  <r>
    <x v="17"/>
    <n v="1"/>
    <n v="250"/>
    <n v="250"/>
    <s v="محل "/>
    <m/>
    <x v="184"/>
  </r>
  <r>
    <x v="87"/>
    <n v="2"/>
    <n v="90"/>
    <n v="180"/>
    <s v="محل "/>
    <m/>
    <x v="185"/>
  </r>
  <r>
    <x v="27"/>
    <n v="1"/>
    <n v="100"/>
    <n v="100"/>
    <s v="محل "/>
    <m/>
    <x v="185"/>
  </r>
  <r>
    <x v="32"/>
    <n v="1"/>
    <n v="90"/>
    <n v="90"/>
    <s v="محل "/>
    <m/>
    <x v="185"/>
  </r>
  <r>
    <x v="5"/>
    <n v="1"/>
    <n v="240"/>
    <n v="240"/>
    <s v="محل "/>
    <m/>
    <x v="185"/>
  </r>
  <r>
    <x v="89"/>
    <n v="10"/>
    <n v="200"/>
    <n v="2000"/>
    <s v="ارض الحرجاوية "/>
    <m/>
    <x v="186"/>
  </r>
  <r>
    <x v="105"/>
    <n v="10"/>
    <n v="60"/>
    <n v="600"/>
    <s v="ارض الحرجاوية "/>
    <m/>
    <x v="186"/>
  </r>
  <r>
    <x v="44"/>
    <n v="6"/>
    <n v="200"/>
    <n v="1200"/>
    <s v="ارض الحرجاوية "/>
    <m/>
    <x v="186"/>
  </r>
  <r>
    <x v="106"/>
    <n v="12"/>
    <n v="120"/>
    <n v="1440"/>
    <s v="ارض الحرجاوية "/>
    <m/>
    <x v="186"/>
  </r>
  <r>
    <x v="106"/>
    <n v="1"/>
    <n v="120"/>
    <n v="120"/>
    <s v="محل "/>
    <m/>
    <x v="186"/>
  </r>
  <r>
    <x v="4"/>
    <n v="1"/>
    <n v="20"/>
    <n v="20"/>
    <s v="محل "/>
    <m/>
    <x v="187"/>
  </r>
  <r>
    <x v="26"/>
    <n v="1"/>
    <n v="350"/>
    <n v="350"/>
    <s v="محل "/>
    <m/>
    <x v="187"/>
  </r>
  <r>
    <x v="106"/>
    <n v="1"/>
    <n v="120"/>
    <n v="120"/>
    <s v="محل "/>
    <m/>
    <x v="188"/>
  </r>
  <r>
    <x v="33"/>
    <n v="2"/>
    <n v="150"/>
    <n v="300"/>
    <s v="محل "/>
    <m/>
    <x v="188"/>
  </r>
  <r>
    <x v="14"/>
    <n v="1"/>
    <n v="450"/>
    <n v="450"/>
    <s v="محل "/>
    <m/>
    <x v="188"/>
  </r>
  <r>
    <x v="106"/>
    <n v="4"/>
    <n v="120"/>
    <n v="480"/>
    <s v="محل "/>
    <m/>
    <x v="188"/>
  </r>
  <r>
    <x v="105"/>
    <n v="4"/>
    <n v="60"/>
    <n v="240"/>
    <s v="محل "/>
    <m/>
    <x v="188"/>
  </r>
  <r>
    <x v="89"/>
    <n v="2"/>
    <n v="200"/>
    <n v="400"/>
    <s v="محل "/>
    <m/>
    <x v="189"/>
  </r>
  <r>
    <x v="27"/>
    <n v="1"/>
    <n v="100"/>
    <n v="100"/>
    <s v="محل "/>
    <m/>
    <x v="189"/>
  </r>
  <r>
    <x v="11"/>
    <n v="1"/>
    <n v="120"/>
    <n v="120"/>
    <s v="محل "/>
    <m/>
    <x v="190"/>
  </r>
  <r>
    <x v="99"/>
    <n v="0.32"/>
    <n v="250"/>
    <n v="80"/>
    <s v="محل "/>
    <m/>
    <x v="190"/>
  </r>
  <r>
    <x v="105"/>
    <n v="1"/>
    <n v="60"/>
    <n v="60"/>
    <s v="محل "/>
    <m/>
    <x v="190"/>
  </r>
  <r>
    <x v="5"/>
    <n v="1"/>
    <n v="240"/>
    <n v="240"/>
    <s v="محل "/>
    <m/>
    <x v="190"/>
  </r>
  <r>
    <x v="46"/>
    <n v="17"/>
    <n v="250"/>
    <n v="4250"/>
    <s v="مزرعة الكانتلوب"/>
    <m/>
    <x v="191"/>
  </r>
  <r>
    <x v="106"/>
    <n v="1"/>
    <n v="120"/>
    <n v="120"/>
    <s v="محل "/>
    <m/>
    <x v="192"/>
  </r>
  <r>
    <x v="3"/>
    <n v="1"/>
    <n v="160"/>
    <n v="160"/>
    <s v="محل "/>
    <m/>
    <x v="192"/>
  </r>
  <r>
    <x v="99"/>
    <n v="0.5"/>
    <n v="200"/>
    <n v="100"/>
    <s v="محل "/>
    <m/>
    <x v="192"/>
  </r>
  <r>
    <x v="101"/>
    <n v="1"/>
    <n v="180"/>
    <n v="180"/>
    <s v="محل "/>
    <m/>
    <x v="192"/>
  </r>
  <r>
    <x v="87"/>
    <n v="1"/>
    <n v="120"/>
    <n v="120"/>
    <s v="محل "/>
    <m/>
    <x v="192"/>
  </r>
  <r>
    <x v="27"/>
    <n v="1"/>
    <n v="120"/>
    <n v="120"/>
    <s v="محل "/>
    <m/>
    <x v="192"/>
  </r>
  <r>
    <x v="104"/>
    <n v="1"/>
    <n v="750"/>
    <n v="750"/>
    <s v="محل "/>
    <m/>
    <x v="192"/>
  </r>
  <r>
    <x v="1"/>
    <n v="1"/>
    <n v="150"/>
    <n v="150"/>
    <s v="محل "/>
    <m/>
    <x v="193"/>
  </r>
  <r>
    <x v="105"/>
    <n v="1"/>
    <n v="60"/>
    <n v="60"/>
    <s v="محل "/>
    <m/>
    <x v="193"/>
  </r>
  <r>
    <x v="5"/>
    <n v="1"/>
    <n v="240"/>
    <n v="240"/>
    <s v="محل "/>
    <m/>
    <x v="193"/>
  </r>
  <r>
    <x v="96"/>
    <n v="0.2"/>
    <n v="250"/>
    <n v="50"/>
    <s v="محل "/>
    <m/>
    <x v="194"/>
  </r>
  <r>
    <x v="106"/>
    <n v="1"/>
    <n v="120"/>
    <n v="120"/>
    <s v="محل "/>
    <m/>
    <x v="194"/>
  </r>
  <r>
    <x v="32"/>
    <n v="1"/>
    <n v="80"/>
    <n v="80"/>
    <s v="محل "/>
    <m/>
    <x v="194"/>
  </r>
  <r>
    <x v="33"/>
    <n v="1"/>
    <n v="150"/>
    <n v="150"/>
    <s v="محل "/>
    <m/>
    <x v="194"/>
  </r>
  <r>
    <x v="5"/>
    <n v="1"/>
    <n v="220"/>
    <n v="220"/>
    <s v="محل "/>
    <m/>
    <x v="194"/>
  </r>
  <r>
    <x v="87"/>
    <n v="1"/>
    <n v="100"/>
    <n v="100"/>
    <s v="محل "/>
    <m/>
    <x v="194"/>
  </r>
  <r>
    <x v="5"/>
    <n v="1"/>
    <n v="240"/>
    <n v="240"/>
    <s v="محل "/>
    <m/>
    <x v="194"/>
  </r>
  <r>
    <x v="101"/>
    <n v="1"/>
    <n v="170"/>
    <n v="170"/>
    <s v="محل "/>
    <m/>
    <x v="194"/>
  </r>
  <r>
    <x v="32"/>
    <n v="1"/>
    <n v="90"/>
    <n v="90"/>
    <s v="محل "/>
    <m/>
    <x v="195"/>
  </r>
  <r>
    <x v="60"/>
    <n v="0.1"/>
    <n v="300"/>
    <n v="30"/>
    <s v="محل "/>
    <m/>
    <x v="195"/>
  </r>
  <r>
    <x v="2"/>
    <n v="1"/>
    <n v="50"/>
    <n v="50"/>
    <s v="محل "/>
    <m/>
    <x v="195"/>
  </r>
  <r>
    <x v="105"/>
    <n v="1"/>
    <n v="60"/>
    <n v="60"/>
    <s v="محل "/>
    <m/>
    <x v="195"/>
  </r>
  <r>
    <x v="32"/>
    <n v="1"/>
    <n v="90"/>
    <n v="90"/>
    <s v="محل "/>
    <m/>
    <x v="195"/>
  </r>
  <r>
    <x v="89"/>
    <n v="0.25"/>
    <n v="200"/>
    <n v="50"/>
    <s v="محل "/>
    <m/>
    <x v="195"/>
  </r>
  <r>
    <x v="34"/>
    <n v="1"/>
    <n v="100"/>
    <n v="100"/>
    <s v="محل "/>
    <m/>
    <x v="195"/>
  </r>
  <r>
    <x v="106"/>
    <n v="1"/>
    <n v="120"/>
    <n v="120"/>
    <s v="محل "/>
    <m/>
    <x v="195"/>
  </r>
  <r>
    <x v="105"/>
    <n v="1"/>
    <n v="60"/>
    <n v="60"/>
    <s v="محل "/>
    <m/>
    <x v="195"/>
  </r>
  <r>
    <x v="101"/>
    <n v="1"/>
    <n v="150"/>
    <n v="150"/>
    <s v="محل "/>
    <m/>
    <x v="195"/>
  </r>
  <r>
    <x v="32"/>
    <n v="1"/>
    <n v="90"/>
    <n v="90"/>
    <s v="محل "/>
    <m/>
    <x v="195"/>
  </r>
  <r>
    <x v="4"/>
    <n v="1"/>
    <n v="20"/>
    <n v="20"/>
    <s v="محل "/>
    <m/>
    <x v="195"/>
  </r>
  <r>
    <x v="105"/>
    <n v="2"/>
    <n v="60"/>
    <n v="120"/>
    <s v="محل "/>
    <m/>
    <x v="196"/>
  </r>
  <r>
    <x v="89"/>
    <n v="1"/>
    <n v="200"/>
    <n v="200"/>
    <s v="محل "/>
    <m/>
    <x v="197"/>
  </r>
  <r>
    <x v="4"/>
    <n v="1"/>
    <n v="20"/>
    <n v="20"/>
    <s v="محل "/>
    <m/>
    <x v="197"/>
  </r>
  <r>
    <x v="106"/>
    <n v="1"/>
    <n v="120"/>
    <n v="120"/>
    <s v="محل "/>
    <m/>
    <x v="197"/>
  </r>
  <r>
    <x v="96"/>
    <n v="0.5"/>
    <n v="230"/>
    <n v="115"/>
    <s v="محل "/>
    <m/>
    <x v="197"/>
  </r>
  <r>
    <x v="33"/>
    <n v="1"/>
    <n v="165"/>
    <n v="165"/>
    <s v="محل "/>
    <m/>
    <x v="198"/>
  </r>
  <r>
    <x v="32"/>
    <n v="2"/>
    <n v="90"/>
    <n v="180"/>
    <s v="محل "/>
    <m/>
    <x v="198"/>
  </r>
  <r>
    <x v="87"/>
    <n v="1"/>
    <n v="100"/>
    <n v="100"/>
    <s v="محل "/>
    <m/>
    <x v="198"/>
  </r>
  <r>
    <x v="96"/>
    <n v="0.4"/>
    <n v="250"/>
    <n v="100"/>
    <s v="محل "/>
    <m/>
    <x v="199"/>
  </r>
  <r>
    <x v="87"/>
    <n v="1"/>
    <n v="100"/>
    <n v="100"/>
    <s v="محل "/>
    <m/>
    <x v="199"/>
  </r>
  <r>
    <x v="60"/>
    <n v="0.2"/>
    <n v="250"/>
    <n v="50"/>
    <s v="محل "/>
    <m/>
    <x v="199"/>
  </r>
  <r>
    <x v="87"/>
    <n v="1"/>
    <n v="120"/>
    <n v="120"/>
    <s v="محل "/>
    <m/>
    <x v="200"/>
  </r>
  <r>
    <x v="107"/>
    <n v="2"/>
    <n v="55"/>
    <n v="110"/>
    <s v="محل "/>
    <m/>
    <x v="201"/>
  </r>
  <r>
    <x v="44"/>
    <n v="1"/>
    <n v="200"/>
    <n v="200"/>
    <s v="محل "/>
    <m/>
    <x v="201"/>
  </r>
  <r>
    <x v="5"/>
    <n v="1"/>
    <n v="200"/>
    <n v="200"/>
    <s v="محل "/>
    <m/>
    <x v="201"/>
  </r>
  <r>
    <x v="4"/>
    <n v="1"/>
    <n v="20"/>
    <n v="20"/>
    <s v="محل "/>
    <m/>
    <x v="201"/>
  </r>
  <r>
    <x v="11"/>
    <n v="1"/>
    <n v="110"/>
    <n v="110"/>
    <s v="محل "/>
    <m/>
    <x v="202"/>
  </r>
  <r>
    <x v="5"/>
    <n v="2"/>
    <n v="240"/>
    <n v="480"/>
    <s v="محل "/>
    <m/>
    <x v="202"/>
  </r>
  <r>
    <x v="95"/>
    <n v="1"/>
    <n v="80"/>
    <n v="80"/>
    <s v="محل "/>
    <m/>
    <x v="202"/>
  </r>
  <r>
    <x v="89"/>
    <n v="0.5"/>
    <n v="200"/>
    <n v="100"/>
    <s v="محل "/>
    <m/>
    <x v="202"/>
  </r>
  <r>
    <x v="89"/>
    <n v="1"/>
    <n v="180"/>
    <n v="180"/>
    <s v="محل "/>
    <m/>
    <x v="202"/>
  </r>
  <r>
    <x v="106"/>
    <n v="2"/>
    <n v="110"/>
    <n v="220"/>
    <s v="محل "/>
    <m/>
    <x v="202"/>
  </r>
  <r>
    <x v="50"/>
    <n v="1"/>
    <n v="260"/>
    <n v="260"/>
    <s v="محل "/>
    <m/>
    <x v="202"/>
  </r>
  <r>
    <x v="33"/>
    <n v="1"/>
    <n v="170"/>
    <n v="170"/>
    <s v="محل "/>
    <m/>
    <x v="202"/>
  </r>
  <r>
    <x v="1"/>
    <n v="1"/>
    <n v="150"/>
    <n v="150"/>
    <s v="محل "/>
    <m/>
    <x v="202"/>
  </r>
  <r>
    <x v="99"/>
    <n v="2"/>
    <n v="210"/>
    <n v="420"/>
    <s v="محل "/>
    <m/>
    <x v="202"/>
  </r>
  <r>
    <x v="99"/>
    <n v="0.25"/>
    <n v="260"/>
    <n v="65"/>
    <s v="محل "/>
    <m/>
    <x v="202"/>
  </r>
  <r>
    <x v="106"/>
    <n v="1"/>
    <n v="120"/>
    <n v="120"/>
    <s v="محل "/>
    <m/>
    <x v="203"/>
  </r>
  <r>
    <x v="89"/>
    <n v="1"/>
    <n v="200"/>
    <n v="200"/>
    <s v="محل "/>
    <m/>
    <x v="203"/>
  </r>
  <r>
    <x v="5"/>
    <n v="1"/>
    <n v="240"/>
    <n v="240"/>
    <s v="محل "/>
    <m/>
    <x v="203"/>
  </r>
  <r>
    <x v="44"/>
    <n v="1"/>
    <n v="220"/>
    <n v="220"/>
    <s v="محل "/>
    <m/>
    <x v="203"/>
  </r>
  <r>
    <x v="33"/>
    <n v="1"/>
    <n v="150"/>
    <n v="150"/>
    <s v="محل "/>
    <m/>
    <x v="203"/>
  </r>
  <r>
    <x v="60"/>
    <n v="0.4"/>
    <n v="210"/>
    <n v="84"/>
    <s v="محل "/>
    <m/>
    <x v="203"/>
  </r>
  <r>
    <x v="5"/>
    <n v="1"/>
    <n v="220"/>
    <n v="220"/>
    <s v="محل "/>
    <m/>
    <x v="204"/>
  </r>
  <r>
    <x v="89"/>
    <n v="1"/>
    <n v="200"/>
    <n v="200"/>
    <s v="محل "/>
    <m/>
    <x v="205"/>
  </r>
  <r>
    <x v="99"/>
    <n v="0.5"/>
    <n v="240"/>
    <n v="120"/>
    <s v="محل "/>
    <m/>
    <x v="206"/>
  </r>
  <r>
    <x v="60"/>
    <n v="0.5"/>
    <n v="200"/>
    <n v="100"/>
    <s v="محل "/>
    <m/>
    <x v="206"/>
  </r>
  <r>
    <x v="4"/>
    <n v="2"/>
    <n v="20"/>
    <n v="40"/>
    <s v="محل "/>
    <m/>
    <x v="206"/>
  </r>
  <r>
    <x v="32"/>
    <n v="1"/>
    <n v="80"/>
    <n v="80"/>
    <s v="محل "/>
    <m/>
    <x v="206"/>
  </r>
  <r>
    <x v="60"/>
    <n v="0.37"/>
    <n v="200"/>
    <n v="74"/>
    <s v="محل "/>
    <m/>
    <x v="207"/>
  </r>
  <r>
    <x v="99"/>
    <n v="0.45"/>
    <n v="220"/>
    <n v="99"/>
    <s v="محل "/>
    <m/>
    <x v="207"/>
  </r>
  <r>
    <x v="11"/>
    <n v="1"/>
    <n v="110"/>
    <n v="110"/>
    <s v="محل "/>
    <m/>
    <x v="207"/>
  </r>
  <r>
    <x v="87"/>
    <n v="1"/>
    <n v="120"/>
    <n v="120"/>
    <s v="محل "/>
    <m/>
    <x v="207"/>
  </r>
  <r>
    <x v="108"/>
    <n v="2"/>
    <n v="55"/>
    <n v="110"/>
    <s v="محل "/>
    <m/>
    <x v="207"/>
  </r>
  <r>
    <x v="107"/>
    <n v="1"/>
    <n v="110"/>
    <n v="110"/>
    <s v="محل "/>
    <m/>
    <x v="207"/>
  </r>
  <r>
    <x v="33"/>
    <n v="1"/>
    <n v="150"/>
    <n v="150"/>
    <s v="محل "/>
    <m/>
    <x v="207"/>
  </r>
  <r>
    <x v="1"/>
    <n v="1"/>
    <n v="100"/>
    <n v="100"/>
    <s v="محل "/>
    <m/>
    <x v="207"/>
  </r>
  <r>
    <x v="107"/>
    <n v="1"/>
    <n v="55"/>
    <n v="55"/>
    <s v="محل "/>
    <m/>
    <x v="208"/>
  </r>
  <r>
    <x v="108"/>
    <n v="2"/>
    <n v="55"/>
    <n v="110"/>
    <s v="محل "/>
    <m/>
    <x v="208"/>
  </r>
  <r>
    <x v="106"/>
    <n v="1"/>
    <n v="120"/>
    <n v="120"/>
    <s v="محل "/>
    <m/>
    <x v="208"/>
  </r>
  <r>
    <x v="4"/>
    <n v="1"/>
    <n v="20"/>
    <n v="20"/>
    <s v="محل "/>
    <m/>
    <x v="208"/>
  </r>
  <r>
    <x v="89"/>
    <n v="0.75"/>
    <n v="200"/>
    <n v="150"/>
    <s v="محل "/>
    <m/>
    <x v="208"/>
  </r>
  <r>
    <x v="34"/>
    <n v="1"/>
    <n v="75"/>
    <n v="75"/>
    <s v="محل "/>
    <m/>
    <x v="209"/>
  </r>
  <r>
    <x v="106"/>
    <n v="1"/>
    <n v="120"/>
    <n v="120"/>
    <s v="محل "/>
    <m/>
    <x v="209"/>
  </r>
  <r>
    <x v="87"/>
    <n v="1"/>
    <n v="120"/>
    <n v="120"/>
    <s v="محل "/>
    <m/>
    <x v="209"/>
  </r>
  <r>
    <x v="4"/>
    <n v="1"/>
    <n v="20"/>
    <n v="20"/>
    <s v="محل "/>
    <m/>
    <x v="209"/>
  </r>
  <r>
    <x v="96"/>
    <n v="0.5"/>
    <n v="240"/>
    <n v="120"/>
    <s v="محل "/>
    <m/>
    <x v="209"/>
  </r>
  <r>
    <x v="89"/>
    <n v="0.5"/>
    <n v="200"/>
    <n v="100"/>
    <s v="محل "/>
    <m/>
    <x v="210"/>
  </r>
  <r>
    <x v="87"/>
    <n v="1"/>
    <n v="100"/>
    <n v="100"/>
    <s v="محل "/>
    <m/>
    <x v="210"/>
  </r>
  <r>
    <x v="1"/>
    <n v="3"/>
    <n v="100"/>
    <n v="300"/>
    <s v="محل "/>
    <m/>
    <x v="210"/>
  </r>
  <r>
    <x v="5"/>
    <n v="1"/>
    <n v="200"/>
    <n v="200"/>
    <s v="محل "/>
    <m/>
    <x v="210"/>
  </r>
  <r>
    <x v="108"/>
    <n v="1"/>
    <n v="55"/>
    <n v="55"/>
    <s v="محل "/>
    <m/>
    <x v="210"/>
  </r>
  <r>
    <x v="60"/>
    <n v="1"/>
    <n v="200"/>
    <n v="200"/>
    <s v="محل "/>
    <m/>
    <x v="210"/>
  </r>
  <r>
    <x v="108"/>
    <n v="1"/>
    <n v="60"/>
    <n v="60"/>
    <s v="محل "/>
    <m/>
    <x v="211"/>
  </r>
  <r>
    <x v="32"/>
    <n v="1"/>
    <n v="80"/>
    <n v="80"/>
    <s v="محل "/>
    <m/>
    <x v="211"/>
  </r>
  <r>
    <x v="89"/>
    <n v="1"/>
    <n v="180"/>
    <n v="180"/>
    <s v="محل "/>
    <m/>
    <x v="211"/>
  </r>
  <r>
    <x v="22"/>
    <n v="1"/>
    <n v="100"/>
    <n v="100"/>
    <s v="محل "/>
    <m/>
    <x v="211"/>
  </r>
  <r>
    <x v="50"/>
    <n v="1"/>
    <n v="200"/>
    <n v="200"/>
    <s v="محل "/>
    <m/>
    <x v="211"/>
  </r>
  <r>
    <x v="99"/>
    <n v="0.25"/>
    <n v="240"/>
    <n v="60"/>
    <s v="محل "/>
    <m/>
    <x v="211"/>
  </r>
  <r>
    <x v="26"/>
    <n v="1"/>
    <n v="350"/>
    <n v="350"/>
    <s v="محل "/>
    <m/>
    <x v="211"/>
  </r>
  <r>
    <x v="11"/>
    <n v="1"/>
    <n v="120"/>
    <n v="120"/>
    <s v="محل "/>
    <m/>
    <x v="212"/>
  </r>
  <r>
    <x v="89"/>
    <n v="1"/>
    <n v="200"/>
    <n v="200"/>
    <s v="محل "/>
    <m/>
    <x v="212"/>
  </r>
  <r>
    <x v="25"/>
    <n v="1"/>
    <n v="800"/>
    <n v="800"/>
    <s v="محل "/>
    <m/>
    <x v="213"/>
  </r>
  <r>
    <x v="1"/>
    <n v="1"/>
    <n v="80"/>
    <n v="80"/>
    <s v="محل "/>
    <m/>
    <x v="213"/>
  </r>
  <r>
    <x v="4"/>
    <n v="1"/>
    <n v="20"/>
    <n v="20"/>
    <s v="محل "/>
    <m/>
    <x v="213"/>
  </r>
  <r>
    <x v="89"/>
    <n v="0.5"/>
    <n v="200"/>
    <n v="100"/>
    <s v="محل "/>
    <m/>
    <x v="213"/>
  </r>
  <r>
    <x v="109"/>
    <n v="1"/>
    <n v="300"/>
    <n v="300"/>
    <s v="محل "/>
    <m/>
    <x v="214"/>
  </r>
  <r>
    <x v="5"/>
    <n v="2"/>
    <n v="200"/>
    <n v="400"/>
    <s v="محل "/>
    <m/>
    <x v="214"/>
  </r>
  <r>
    <x v="108"/>
    <n v="1"/>
    <n v="60"/>
    <n v="60"/>
    <s v="محل "/>
    <m/>
    <x v="215"/>
  </r>
  <r>
    <x v="106"/>
    <n v="1"/>
    <n v="120"/>
    <n v="120"/>
    <s v="محل "/>
    <m/>
    <x v="215"/>
  </r>
  <r>
    <x v="4"/>
    <n v="1"/>
    <n v="20"/>
    <n v="20"/>
    <s v="محل "/>
    <m/>
    <x v="215"/>
  </r>
  <r>
    <x v="42"/>
    <n v="6"/>
    <n v="35"/>
    <n v="210"/>
    <s v="محل "/>
    <m/>
    <x v="216"/>
  </r>
  <r>
    <x v="89"/>
    <n v="0.5"/>
    <n v="200"/>
    <n v="100"/>
    <s v="محل "/>
    <m/>
    <x v="216"/>
  </r>
  <r>
    <x v="10"/>
    <n v="3"/>
    <n v="150"/>
    <n v="450"/>
    <s v="محل "/>
    <m/>
    <x v="217"/>
  </r>
  <r>
    <x v="87"/>
    <n v="1"/>
    <n v="120"/>
    <n v="120"/>
    <s v="محل "/>
    <m/>
    <x v="217"/>
  </r>
  <r>
    <x v="108"/>
    <n v="1"/>
    <n v="60"/>
    <n v="60"/>
    <s v="محل "/>
    <m/>
    <x v="217"/>
  </r>
  <r>
    <x v="4"/>
    <n v="1"/>
    <n v="20"/>
    <n v="20"/>
    <s v="محل "/>
    <m/>
    <x v="217"/>
  </r>
  <r>
    <x v="89"/>
    <n v="0.5"/>
    <n v="200"/>
    <n v="100"/>
    <s v="محل "/>
    <m/>
    <x v="218"/>
  </r>
  <r>
    <x v="5"/>
    <n v="2"/>
    <n v="220"/>
    <n v="440"/>
    <s v="محل "/>
    <m/>
    <x v="218"/>
  </r>
  <r>
    <x v="4"/>
    <n v="1"/>
    <n v="20"/>
    <n v="20"/>
    <s v="محل "/>
    <m/>
    <x v="218"/>
  </r>
  <r>
    <x v="108"/>
    <n v="1"/>
    <n v="60"/>
    <n v="60"/>
    <s v="محل "/>
    <m/>
    <x v="219"/>
  </r>
  <r>
    <x v="89"/>
    <n v="1"/>
    <n v="200"/>
    <n v="200"/>
    <s v="محل "/>
    <m/>
    <x v="219"/>
  </r>
  <r>
    <x v="67"/>
    <n v="1"/>
    <n v="300"/>
    <n v="300"/>
    <s v="محل "/>
    <m/>
    <x v="220"/>
  </r>
  <r>
    <x v="5"/>
    <n v="1"/>
    <n v="200"/>
    <n v="200"/>
    <s v="محل "/>
    <m/>
    <x v="220"/>
  </r>
  <r>
    <x v="99"/>
    <n v="0.25"/>
    <n v="240"/>
    <n v="60"/>
    <s v="محل "/>
    <m/>
    <x v="220"/>
  </r>
  <r>
    <x v="96"/>
    <n v="0.25"/>
    <n v="240"/>
    <n v="60"/>
    <s v="محل "/>
    <m/>
    <x v="220"/>
  </r>
  <r>
    <x v="106"/>
    <n v="1"/>
    <n v="120"/>
    <n v="120"/>
    <s v="محل "/>
    <m/>
    <x v="220"/>
  </r>
  <r>
    <x v="10"/>
    <n v="1.5"/>
    <n v="140"/>
    <n v="210"/>
    <s v="محل "/>
    <m/>
    <x v="221"/>
  </r>
  <r>
    <x v="89"/>
    <n v="0.5"/>
    <n v="200"/>
    <n v="100"/>
    <s v="محل "/>
    <m/>
    <x v="221"/>
  </r>
  <r>
    <x v="106"/>
    <n v="1"/>
    <n v="120"/>
    <n v="120"/>
    <s v="محل "/>
    <m/>
    <x v="221"/>
  </r>
  <r>
    <x v="108"/>
    <n v="2"/>
    <n v="60"/>
    <n v="120"/>
    <s v="محل "/>
    <m/>
    <x v="221"/>
  </r>
  <r>
    <x v="5"/>
    <n v="3"/>
    <n v="233"/>
    <n v="699"/>
    <s v="محل "/>
    <m/>
    <x v="221"/>
  </r>
  <r>
    <x v="99"/>
    <n v="0.125"/>
    <n v="240"/>
    <n v="30"/>
    <s v="محل "/>
    <m/>
    <x v="221"/>
  </r>
  <r>
    <x v="96"/>
    <n v="0.125"/>
    <n v="240"/>
    <n v="30"/>
    <s v="محل "/>
    <m/>
    <x v="221"/>
  </r>
  <r>
    <x v="110"/>
    <n v="1"/>
    <n v="230"/>
    <n v="230"/>
    <s v="محل "/>
    <m/>
    <x v="221"/>
  </r>
  <r>
    <x v="4"/>
    <n v="1"/>
    <n v="20"/>
    <n v="20"/>
    <s v="محل "/>
    <m/>
    <x v="222"/>
  </r>
  <r>
    <x v="108"/>
    <n v="2"/>
    <n v="60"/>
    <n v="120"/>
    <s v="محل "/>
    <m/>
    <x v="223"/>
  </r>
  <r>
    <x v="23"/>
    <n v="1"/>
    <n v="120"/>
    <n v="120"/>
    <s v="محل "/>
    <m/>
    <x v="223"/>
  </r>
  <r>
    <x v="109"/>
    <n v="3"/>
    <n v="350"/>
    <n v="1050"/>
    <s v="محل "/>
    <m/>
    <x v="223"/>
  </r>
  <r>
    <x v="111"/>
    <n v="1"/>
    <n v="60"/>
    <n v="60"/>
    <s v="محل "/>
    <m/>
    <x v="223"/>
  </r>
  <r>
    <x v="19"/>
    <n v="1"/>
    <n v="250"/>
    <n v="250"/>
    <s v="محل "/>
    <m/>
    <x v="223"/>
  </r>
  <r>
    <x v="106"/>
    <n v="1"/>
    <n v="120"/>
    <n v="120"/>
    <s v="محل "/>
    <m/>
    <x v="223"/>
  </r>
  <r>
    <x v="4"/>
    <n v="1"/>
    <n v="20"/>
    <n v="20"/>
    <s v="محل "/>
    <m/>
    <x v="224"/>
  </r>
  <r>
    <x v="89"/>
    <n v="0.5"/>
    <n v="200"/>
    <n v="100"/>
    <s v="محل "/>
    <m/>
    <x v="224"/>
  </r>
  <r>
    <x v="99"/>
    <n v="0.25"/>
    <n v="200"/>
    <n v="50"/>
    <s v="محل "/>
    <m/>
    <x v="224"/>
  </r>
  <r>
    <x v="11"/>
    <n v="1"/>
    <n v="100"/>
    <n v="100"/>
    <s v="محل "/>
    <m/>
    <x v="224"/>
  </r>
  <r>
    <x v="4"/>
    <n v="1"/>
    <n v="20"/>
    <n v="20"/>
    <s v="محل "/>
    <m/>
    <x v="224"/>
  </r>
  <r>
    <x v="87"/>
    <n v="1"/>
    <n v="100"/>
    <n v="100"/>
    <s v="محل "/>
    <m/>
    <x v="225"/>
  </r>
  <r>
    <x v="108"/>
    <n v="1"/>
    <n v="60"/>
    <n v="60"/>
    <s v="محل "/>
    <m/>
    <x v="225"/>
  </r>
  <r>
    <x v="5"/>
    <n v="1"/>
    <n v="220"/>
    <n v="220"/>
    <s v="محل "/>
    <m/>
    <x v="225"/>
  </r>
  <r>
    <x v="5"/>
    <n v="4"/>
    <n v="200"/>
    <n v="800"/>
    <s v="محل "/>
    <m/>
    <x v="225"/>
  </r>
  <r>
    <x v="1"/>
    <n v="1"/>
    <n v="120"/>
    <n v="120"/>
    <s v="محل "/>
    <m/>
    <x v="226"/>
  </r>
  <r>
    <x v="8"/>
    <n v="1"/>
    <n v="50"/>
    <n v="50"/>
    <s v="محل "/>
    <m/>
    <x v="227"/>
  </r>
  <r>
    <x v="109"/>
    <n v="2"/>
    <n v="350"/>
    <n v="700"/>
    <s v="مزرعة طماطم"/>
    <m/>
    <x v="228"/>
  </r>
  <r>
    <x v="12"/>
    <n v="3"/>
    <n v="350"/>
    <n v="1050"/>
    <s v="مزرعة طماطم"/>
    <m/>
    <x v="228"/>
  </r>
  <r>
    <x v="51"/>
    <n v="3"/>
    <n v="350"/>
    <n v="1050"/>
    <s v="مزرعة طماطم"/>
    <m/>
    <x v="228"/>
  </r>
  <r>
    <x v="109"/>
    <n v="1"/>
    <n v="300"/>
    <n v="300"/>
    <s v="محل "/>
    <m/>
    <x v="228"/>
  </r>
  <r>
    <x v="60"/>
    <n v="0.17"/>
    <n v="200"/>
    <n v="34"/>
    <s v="محل "/>
    <m/>
    <x v="228"/>
  </r>
  <r>
    <x v="3"/>
    <n v="1"/>
    <n v="165"/>
    <n v="165"/>
    <s v="محل "/>
    <m/>
    <x v="228"/>
  </r>
  <r>
    <x v="12"/>
    <n v="0.04"/>
    <n v="1000"/>
    <n v="40"/>
    <s v="محل "/>
    <m/>
    <x v="229"/>
  </r>
  <r>
    <x v="89"/>
    <n v="0.5"/>
    <n v="200"/>
    <n v="100"/>
    <s v="محل "/>
    <m/>
    <x v="229"/>
  </r>
  <r>
    <x v="4"/>
    <n v="2"/>
    <n v="20"/>
    <n v="40"/>
    <s v="محل "/>
    <m/>
    <x v="230"/>
  </r>
  <r>
    <x v="12"/>
    <n v="0.15"/>
    <n v="800"/>
    <n v="120"/>
    <s v="محل "/>
    <m/>
    <x v="231"/>
  </r>
  <r>
    <x v="111"/>
    <n v="1"/>
    <n v="60"/>
    <n v="60"/>
    <s v="محل "/>
    <m/>
    <x v="231"/>
  </r>
  <r>
    <x v="4"/>
    <n v="1"/>
    <n v="20"/>
    <n v="20"/>
    <s v="محل "/>
    <m/>
    <x v="231"/>
  </r>
  <r>
    <x v="89"/>
    <n v="0.5"/>
    <n v="200"/>
    <n v="100"/>
    <s v="محل "/>
    <m/>
    <x v="232"/>
  </r>
  <r>
    <x v="89"/>
    <n v="0.5"/>
    <n v="200"/>
    <n v="100"/>
    <s v="محل "/>
    <m/>
    <x v="233"/>
  </r>
  <r>
    <x v="111"/>
    <n v="2"/>
    <n v="60"/>
    <n v="120"/>
    <s v="محل "/>
    <m/>
    <x v="233"/>
  </r>
  <r>
    <x v="4"/>
    <n v="3"/>
    <n v="20"/>
    <n v="60"/>
    <s v="محل "/>
    <m/>
    <x v="234"/>
  </r>
  <r>
    <x v="3"/>
    <n v="1"/>
    <n v="170"/>
    <n v="170"/>
    <s v="محل "/>
    <m/>
    <x v="234"/>
  </r>
  <r>
    <x v="1"/>
    <n v="1"/>
    <n v="100"/>
    <n v="100"/>
    <s v="محل "/>
    <m/>
    <x v="234"/>
  </r>
  <r>
    <x v="11"/>
    <n v="1"/>
    <n v="100"/>
    <n v="100"/>
    <s v="محل "/>
    <m/>
    <x v="234"/>
  </r>
  <r>
    <x v="99"/>
    <n v="0.9"/>
    <n v="220"/>
    <n v="198"/>
    <s v="محل "/>
    <m/>
    <x v="234"/>
  </r>
  <r>
    <x v="96"/>
    <n v="0.3"/>
    <n v="220"/>
    <n v="66"/>
    <s v="محل "/>
    <m/>
    <x v="234"/>
  </r>
  <r>
    <x v="89"/>
    <n v="1"/>
    <n v="200"/>
    <n v="200"/>
    <s v="محل "/>
    <m/>
    <x v="234"/>
  </r>
  <r>
    <x v="11"/>
    <n v="1"/>
    <n v="120"/>
    <n v="120"/>
    <s v="محل "/>
    <m/>
    <x v="235"/>
  </r>
  <r>
    <x v="4"/>
    <n v="1"/>
    <n v="20"/>
    <n v="20"/>
    <s v="محل "/>
    <m/>
    <x v="235"/>
  </r>
  <r>
    <x v="89"/>
    <n v="0.5"/>
    <n v="200"/>
    <n v="100"/>
    <s v="محل "/>
    <m/>
    <x v="235"/>
  </r>
  <r>
    <x v="17"/>
    <n v="1"/>
    <n v="230"/>
    <n v="230"/>
    <s v="محل "/>
    <m/>
    <x v="236"/>
  </r>
  <r>
    <x v="11"/>
    <n v="1"/>
    <n v="100"/>
    <n v="100"/>
    <s v="محل "/>
    <m/>
    <x v="237"/>
  </r>
  <r>
    <x v="4"/>
    <n v="2"/>
    <n v="17"/>
    <n v="34"/>
    <s v="محل "/>
    <m/>
    <x v="237"/>
  </r>
  <r>
    <x v="1"/>
    <n v="1"/>
    <n v="100"/>
    <n v="100"/>
    <s v="محل "/>
    <m/>
    <x v="237"/>
  </r>
  <r>
    <x v="99"/>
    <n v="0.14000000000000001"/>
    <n v="215"/>
    <n v="30.1"/>
    <s v="محل "/>
    <m/>
    <x v="237"/>
  </r>
  <r>
    <x v="96"/>
    <n v="0.14000000000000001"/>
    <n v="215"/>
    <n v="30.1"/>
    <s v="محل "/>
    <m/>
    <x v="237"/>
  </r>
  <r>
    <x v="4"/>
    <n v="1"/>
    <n v="20"/>
    <n v="20"/>
    <s v="محل "/>
    <m/>
    <x v="238"/>
  </r>
  <r>
    <x v="111"/>
    <n v="1"/>
    <n v="60"/>
    <n v="60"/>
    <s v="محل "/>
    <m/>
    <x v="238"/>
  </r>
  <r>
    <x v="1"/>
    <n v="1"/>
    <n v="100"/>
    <n v="100"/>
    <s v="محل "/>
    <m/>
    <x v="238"/>
  </r>
  <r>
    <x v="106"/>
    <n v="1"/>
    <n v="120"/>
    <n v="120"/>
    <s v="محل "/>
    <m/>
    <x v="238"/>
  </r>
  <r>
    <x v="4"/>
    <n v="1"/>
    <n v="200"/>
    <n v="200"/>
    <s v="محل "/>
    <m/>
    <x v="239"/>
  </r>
  <r>
    <x v="60"/>
    <n v="2"/>
    <n v="200"/>
    <n v="400"/>
    <s v="محل "/>
    <m/>
    <x v="239"/>
  </r>
  <r>
    <x v="1"/>
    <n v="1"/>
    <n v="100"/>
    <n v="100"/>
    <s v="محل "/>
    <m/>
    <x v="239"/>
  </r>
  <r>
    <x v="81"/>
    <n v="1"/>
    <n v="250"/>
    <n v="250"/>
    <s v="محل "/>
    <m/>
    <x v="239"/>
  </r>
  <r>
    <x v="89"/>
    <n v="1.5"/>
    <n v="200"/>
    <n v="300"/>
    <s v="محل "/>
    <m/>
    <x v="239"/>
  </r>
  <r>
    <x v="106"/>
    <n v="1"/>
    <n v="100"/>
    <n v="100"/>
    <s v="محل "/>
    <m/>
    <x v="240"/>
  </r>
  <r>
    <x v="108"/>
    <n v="2"/>
    <n v="60"/>
    <n v="120"/>
    <s v="محل "/>
    <m/>
    <x v="240"/>
  </r>
  <r>
    <x v="99"/>
    <n v="0.14000000000000001"/>
    <n v="215"/>
    <n v="30.1"/>
    <s v="محل "/>
    <m/>
    <x v="241"/>
  </r>
  <r>
    <x v="96"/>
    <n v="0.14000000000000001"/>
    <n v="215"/>
    <n v="30.1"/>
    <s v="محل "/>
    <m/>
    <x v="241"/>
  </r>
  <r>
    <x v="106"/>
    <n v="1"/>
    <n v="100"/>
    <n v="100"/>
    <s v="محل "/>
    <m/>
    <x v="241"/>
  </r>
  <r>
    <x v="1"/>
    <n v="1"/>
    <n v="100"/>
    <n v="100"/>
    <s v="محل "/>
    <m/>
    <x v="241"/>
  </r>
  <r>
    <x v="108"/>
    <n v="1"/>
    <n v="60"/>
    <n v="60"/>
    <s v="محل "/>
    <m/>
    <x v="241"/>
  </r>
  <r>
    <x v="10"/>
    <n v="1.5"/>
    <n v="125"/>
    <n v="187.5"/>
    <s v="محل "/>
    <m/>
    <x v="241"/>
  </r>
  <r>
    <x v="109"/>
    <n v="1"/>
    <n v="200"/>
    <n v="200"/>
    <s v="محل "/>
    <m/>
    <x v="242"/>
  </r>
  <r>
    <x v="108"/>
    <n v="1"/>
    <n v="50"/>
    <n v="50"/>
    <s v="محل "/>
    <m/>
    <x v="242"/>
  </r>
  <r>
    <x v="4"/>
    <n v="1"/>
    <n v="20"/>
    <n v="20"/>
    <s v="محل "/>
    <m/>
    <x v="243"/>
  </r>
  <r>
    <x v="1"/>
    <n v="2"/>
    <n v="100"/>
    <n v="200"/>
    <s v="محل "/>
    <m/>
    <x v="243"/>
  </r>
  <r>
    <x v="108"/>
    <n v="1"/>
    <n v="60"/>
    <n v="60"/>
    <s v="محل "/>
    <m/>
    <x v="244"/>
  </r>
  <r>
    <x v="33"/>
    <n v="1"/>
    <n v="150"/>
    <n v="150"/>
    <s v="محل "/>
    <m/>
    <x v="244"/>
  </r>
  <r>
    <x v="4"/>
    <n v="1"/>
    <n v="20"/>
    <n v="20"/>
    <s v="محل "/>
    <m/>
    <x v="244"/>
  </r>
  <r>
    <x v="89"/>
    <n v="0.5"/>
    <n v="200"/>
    <n v="100"/>
    <s v="محل "/>
    <m/>
    <x v="244"/>
  </r>
  <r>
    <x v="89"/>
    <n v="0.5"/>
    <n v="200"/>
    <n v="100"/>
    <s v="محل "/>
    <m/>
    <x v="245"/>
  </r>
  <r>
    <x v="10"/>
    <n v="2"/>
    <n v="140"/>
    <n v="280"/>
    <s v="محل "/>
    <m/>
    <x v="245"/>
  </r>
  <r>
    <x v="60"/>
    <n v="0.5"/>
    <n v="200"/>
    <n v="100"/>
    <s v="محل "/>
    <m/>
    <x v="245"/>
  </r>
  <r>
    <x v="1"/>
    <n v="4"/>
    <n v="100"/>
    <n v="400"/>
    <s v="محل "/>
    <m/>
    <x v="246"/>
  </r>
  <r>
    <x v="10"/>
    <n v="0.9"/>
    <n v="133"/>
    <n v="119.7"/>
    <s v="محل "/>
    <m/>
    <x v="246"/>
  </r>
  <r>
    <x v="96"/>
    <n v="1"/>
    <n v="200"/>
    <n v="200"/>
    <s v="محل "/>
    <m/>
    <x v="247"/>
  </r>
  <r>
    <x v="51"/>
    <n v="0.2"/>
    <n v="750"/>
    <n v="150"/>
    <s v="محل "/>
    <m/>
    <x v="247"/>
  </r>
  <r>
    <x v="4"/>
    <n v="1"/>
    <n v="20"/>
    <n v="20"/>
    <s v="محل "/>
    <m/>
    <x v="248"/>
  </r>
  <r>
    <x v="87"/>
    <n v="1"/>
    <n v="120"/>
    <n v="120"/>
    <s v="محل "/>
    <m/>
    <x v="248"/>
  </r>
  <r>
    <x v="96"/>
    <n v="0.1"/>
    <n v="250"/>
    <n v="25"/>
    <s v="محل "/>
    <m/>
    <x v="248"/>
  </r>
  <r>
    <x v="60"/>
    <n v="0.25"/>
    <n v="220"/>
    <n v="55"/>
    <s v="محل "/>
    <m/>
    <x v="249"/>
  </r>
  <r>
    <x v="96"/>
    <n v="1"/>
    <n v="200"/>
    <n v="200"/>
    <s v="محل "/>
    <m/>
    <x v="249"/>
  </r>
  <r>
    <x v="108"/>
    <n v="1"/>
    <n v="60"/>
    <n v="60"/>
    <s v="محل "/>
    <m/>
    <x v="249"/>
  </r>
  <r>
    <x v="89"/>
    <n v="0.5"/>
    <n v="200"/>
    <n v="100"/>
    <s v="محل "/>
    <m/>
    <x v="249"/>
  </r>
  <r>
    <x v="81"/>
    <n v="1"/>
    <n v="250"/>
    <n v="250"/>
    <s v="محل "/>
    <m/>
    <x v="249"/>
  </r>
  <r>
    <x v="60"/>
    <n v="1"/>
    <n v="200"/>
    <n v="200"/>
    <s v="محل "/>
    <m/>
    <x v="250"/>
  </r>
  <r>
    <x v="4"/>
    <n v="2"/>
    <n v="20"/>
    <n v="40"/>
    <s v="محل "/>
    <m/>
    <x v="250"/>
  </r>
  <r>
    <x v="109"/>
    <n v="1"/>
    <n v="350"/>
    <n v="350"/>
    <s v="محل "/>
    <m/>
    <x v="250"/>
  </r>
  <r>
    <x v="81"/>
    <n v="1"/>
    <n v="280"/>
    <n v="280"/>
    <s v="محل "/>
    <m/>
    <x v="250"/>
  </r>
  <r>
    <x v="4"/>
    <n v="3"/>
    <n v="20"/>
    <n v="60"/>
    <s v="محل "/>
    <m/>
    <x v="251"/>
  </r>
  <r>
    <x v="111"/>
    <n v="1"/>
    <n v="50"/>
    <n v="50"/>
    <s v="محل "/>
    <m/>
    <x v="251"/>
  </r>
  <r>
    <x v="1"/>
    <n v="1"/>
    <n v="100"/>
    <n v="100"/>
    <s v="محل "/>
    <m/>
    <x v="251"/>
  </r>
  <r>
    <x v="4"/>
    <n v="1"/>
    <n v="20"/>
    <n v="20"/>
    <s v="محل "/>
    <m/>
    <x v="252"/>
  </r>
  <r>
    <x v="11"/>
    <n v="2"/>
    <n v="100"/>
    <n v="200"/>
    <s v="محل "/>
    <m/>
    <x v="252"/>
  </r>
  <r>
    <x v="30"/>
    <n v="1"/>
    <n v="350"/>
    <n v="350"/>
    <s v="محل "/>
    <m/>
    <x v="253"/>
  </r>
  <r>
    <x v="109"/>
    <n v="1"/>
    <n v="250"/>
    <n v="250"/>
    <s v="محل "/>
    <m/>
    <x v="254"/>
  </r>
  <r>
    <x v="4"/>
    <n v="1"/>
    <n v="20"/>
    <n v="20"/>
    <s v="محل "/>
    <m/>
    <x v="254"/>
  </r>
  <r>
    <x v="108"/>
    <n v="1"/>
    <n v="60"/>
    <n v="60"/>
    <s v="محل "/>
    <m/>
    <x v="254"/>
  </r>
  <r>
    <x v="4"/>
    <n v="1"/>
    <n v="20"/>
    <n v="20"/>
    <s v="محل "/>
    <m/>
    <x v="255"/>
  </r>
  <r>
    <x v="81"/>
    <n v="1"/>
    <n v="180"/>
    <n v="180"/>
    <s v="محل "/>
    <m/>
    <x v="256"/>
  </r>
  <r>
    <x v="99"/>
    <n v="1"/>
    <n v="220"/>
    <n v="220"/>
    <s v="محل "/>
    <m/>
    <x v="256"/>
  </r>
  <r>
    <x v="89"/>
    <n v="0.5"/>
    <n v="200"/>
    <n v="100"/>
    <s v="محل "/>
    <m/>
    <x v="256"/>
  </r>
  <r>
    <x v="112"/>
    <n v="2"/>
    <n v="230"/>
    <n v="460"/>
    <s v="محل "/>
    <m/>
    <x v="257"/>
  </r>
  <r>
    <x v="60"/>
    <n v="1"/>
    <n v="200"/>
    <n v="200"/>
    <s v="محل "/>
    <m/>
    <x v="257"/>
  </r>
  <r>
    <x v="112"/>
    <n v="1"/>
    <n v="250"/>
    <n v="250"/>
    <s v="محل "/>
    <m/>
    <x v="258"/>
  </r>
  <r>
    <x v="33"/>
    <n v="2"/>
    <n v="125"/>
    <n v="250"/>
    <s v="محل "/>
    <m/>
    <x v="258"/>
  </r>
  <r>
    <x v="30"/>
    <n v="1"/>
    <n v="320"/>
    <n v="320"/>
    <s v="محل "/>
    <m/>
    <x v="258"/>
  </r>
  <r>
    <x v="10"/>
    <n v="1"/>
    <n v="140"/>
    <n v="140"/>
    <s v="محل "/>
    <m/>
    <x v="259"/>
  </r>
  <r>
    <x v="89"/>
    <n v="1"/>
    <n v="200"/>
    <n v="200"/>
    <s v="محل "/>
    <m/>
    <x v="259"/>
  </r>
  <r>
    <x v="108"/>
    <n v="1"/>
    <n v="60"/>
    <n v="60"/>
    <s v="محل "/>
    <m/>
    <x v="260"/>
  </r>
  <r>
    <x v="10"/>
    <n v="0.5"/>
    <n v="140"/>
    <n v="70"/>
    <s v="محل "/>
    <m/>
    <x v="260"/>
  </r>
  <r>
    <x v="99"/>
    <n v="1"/>
    <n v="200"/>
    <n v="200"/>
    <s v="محل "/>
    <m/>
    <x v="261"/>
  </r>
  <r>
    <x v="96"/>
    <n v="3"/>
    <n v="200"/>
    <n v="600"/>
    <s v="محل "/>
    <m/>
    <x v="261"/>
  </r>
  <r>
    <x v="87"/>
    <n v="1"/>
    <n v="90"/>
    <n v="90"/>
    <s v="محل "/>
    <m/>
    <x v="262"/>
  </r>
  <r>
    <x v="112"/>
    <n v="1"/>
    <n v="250"/>
    <n v="250"/>
    <s v="محل "/>
    <m/>
    <x v="262"/>
  </r>
  <r>
    <x v="111"/>
    <n v="1"/>
    <n v="50"/>
    <n v="50"/>
    <s v="محل "/>
    <m/>
    <x v="262"/>
  </r>
  <r>
    <x v="108"/>
    <n v="1"/>
    <n v="50"/>
    <n v="50"/>
    <s v="محل "/>
    <m/>
    <x v="262"/>
  </r>
  <r>
    <x v="30"/>
    <n v="1"/>
    <n v="350"/>
    <n v="350"/>
    <s v="محل "/>
    <m/>
    <x v="262"/>
  </r>
  <r>
    <x v="108"/>
    <n v="2"/>
    <n v="50"/>
    <n v="100"/>
    <s v="محل "/>
    <m/>
    <x v="263"/>
  </r>
  <r>
    <x v="1"/>
    <n v="1"/>
    <n v="100"/>
    <n v="100"/>
    <s v="محل "/>
    <m/>
    <x v="263"/>
  </r>
  <r>
    <x v="33"/>
    <n v="1"/>
    <n v="140"/>
    <n v="140"/>
    <s v="محل "/>
    <m/>
    <x v="263"/>
  </r>
  <r>
    <x v="9"/>
    <n v="1"/>
    <n v="250"/>
    <n v="250"/>
    <s v="محل "/>
    <m/>
    <x v="264"/>
  </r>
  <r>
    <x v="4"/>
    <n v="1"/>
    <n v="20"/>
    <n v="20"/>
    <s v="محل "/>
    <m/>
    <x v="264"/>
  </r>
  <r>
    <x v="1"/>
    <n v="1"/>
    <n v="100"/>
    <n v="100"/>
    <s v="محل "/>
    <m/>
    <x v="264"/>
  </r>
  <r>
    <x v="108"/>
    <n v="1"/>
    <n v="50"/>
    <n v="50"/>
    <s v="محل "/>
    <m/>
    <x v="264"/>
  </r>
  <r>
    <x v="113"/>
    <n v="2"/>
    <n v="300"/>
    <n v="600"/>
    <s v="محل "/>
    <m/>
    <x v="265"/>
  </r>
  <r>
    <x v="104"/>
    <n v="1"/>
    <n v="700"/>
    <n v="700"/>
    <s v="محل "/>
    <m/>
    <x v="266"/>
  </r>
  <r>
    <x v="46"/>
    <n v="1"/>
    <n v="150"/>
    <n v="150"/>
    <s v="محل "/>
    <m/>
    <x v="266"/>
  </r>
  <r>
    <x v="111"/>
    <n v="1"/>
    <n v="50"/>
    <n v="50"/>
    <s v="محل "/>
    <m/>
    <x v="266"/>
  </r>
  <r>
    <x v="87"/>
    <n v="2"/>
    <n v="100"/>
    <n v="200"/>
    <s v="محل "/>
    <m/>
    <x v="267"/>
  </r>
  <r>
    <x v="30"/>
    <n v="1"/>
    <n v="350"/>
    <n v="350"/>
    <s v="محل "/>
    <m/>
    <x v="267"/>
  </r>
  <r>
    <x v="111"/>
    <n v="1"/>
    <n v="50"/>
    <n v="50"/>
    <s v="محل "/>
    <m/>
    <x v="268"/>
  </r>
  <r>
    <x v="112"/>
    <n v="1"/>
    <n v="220"/>
    <n v="220"/>
    <s v="محل "/>
    <m/>
    <x v="268"/>
  </r>
  <r>
    <x v="111"/>
    <n v="1"/>
    <n v="50"/>
    <n v="50"/>
    <s v="محل "/>
    <m/>
    <x v="269"/>
  </r>
  <r>
    <x v="4"/>
    <n v="1"/>
    <n v="20"/>
    <n v="20"/>
    <s v="محل "/>
    <m/>
    <x v="269"/>
  </r>
  <r>
    <x v="30"/>
    <n v="3"/>
    <n v="300"/>
    <n v="900"/>
    <s v="محل "/>
    <m/>
    <x v="269"/>
  </r>
  <r>
    <x v="44"/>
    <n v="1"/>
    <n v="200"/>
    <n v="200"/>
    <s v="محل "/>
    <m/>
    <x v="270"/>
  </r>
  <r>
    <x v="111"/>
    <n v="2"/>
    <n v="50"/>
    <n v="100"/>
    <s v="محل "/>
    <m/>
    <x v="270"/>
  </r>
  <r>
    <x v="108"/>
    <n v="1"/>
    <n v="50"/>
    <n v="50"/>
    <s v="محل "/>
    <m/>
    <x v="270"/>
  </r>
  <r>
    <x v="60"/>
    <n v="0.6"/>
    <n v="200"/>
    <n v="120"/>
    <s v="محل "/>
    <m/>
    <x v="270"/>
  </r>
  <r>
    <x v="89"/>
    <n v="0.25"/>
    <n v="200"/>
    <n v="50"/>
    <s v="محل "/>
    <m/>
    <x v="2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152A5B-49DD-4556-8B48-7532F019EF3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
  <location ref="A42:B53" firstHeaderRow="1" firstDataRow="1" firstDataCol="1"/>
  <pivotFields count="9">
    <pivotField axis="axisRow" showAll="0" measureFilter="1" sortType="descending">
      <items count="109">
        <item x="29"/>
        <item x="101"/>
        <item x="0"/>
        <item x="97"/>
        <item x="21"/>
        <item x="57"/>
        <item x="19"/>
        <item x="90"/>
        <item x="41"/>
        <item x="64"/>
        <item x="5"/>
        <item x="30"/>
        <item x="26"/>
        <item x="75"/>
        <item x="76"/>
        <item x="67"/>
        <item x="58"/>
        <item x="17"/>
        <item x="28"/>
        <item x="94"/>
        <item x="42"/>
        <item x="20"/>
        <item x="68"/>
        <item x="69"/>
        <item x="37"/>
        <item x="38"/>
        <item x="66"/>
        <item x="44"/>
        <item x="39"/>
        <item x="18"/>
        <item x="33"/>
        <item x="1"/>
        <item x="46"/>
        <item x="23"/>
        <item x="27"/>
        <item x="22"/>
        <item x="24"/>
        <item x="49"/>
        <item x="102"/>
        <item x="25"/>
        <item x="77"/>
        <item x="40"/>
        <item x="3"/>
        <item x="9"/>
        <item x="15"/>
        <item x="14"/>
        <item x="31"/>
        <item x="12"/>
        <item x="70"/>
        <item x="71"/>
        <item x="72"/>
        <item x="73"/>
        <item x="32"/>
        <item x="81"/>
        <item x="4"/>
        <item x="16"/>
        <item x="87"/>
        <item x="45"/>
        <item x="35"/>
        <item x="13"/>
        <item x="74"/>
        <item x="8"/>
        <item x="60"/>
        <item x="99"/>
        <item x="96"/>
        <item x="10"/>
        <item x="63"/>
        <item x="65"/>
        <item x="79"/>
        <item x="2"/>
        <item x="11"/>
        <item x="36"/>
        <item x="91"/>
        <item x="103"/>
        <item x="105"/>
        <item x="104"/>
        <item x="53"/>
        <item x="51"/>
        <item x="95"/>
        <item x="83"/>
        <item x="80"/>
        <item x="47"/>
        <item x="88"/>
        <item x="54"/>
        <item x="6"/>
        <item x="7"/>
        <item x="43"/>
        <item x="92"/>
        <item x="52"/>
        <item x="85"/>
        <item x="107"/>
        <item x="56"/>
        <item x="82"/>
        <item x="62"/>
        <item x="50"/>
        <item x="61"/>
        <item x="48"/>
        <item x="93"/>
        <item x="78"/>
        <item x="106"/>
        <item x="84"/>
        <item x="100"/>
        <item x="55"/>
        <item x="59"/>
        <item x="34"/>
        <item x="86"/>
        <item x="89"/>
        <item x="98"/>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showAll="0">
      <items count="18">
        <item x="8"/>
        <item x="7"/>
        <item x="4"/>
        <item x="1"/>
        <item x="10"/>
        <item x="2"/>
        <item m="1" x="14"/>
        <item x="0"/>
        <item x="6"/>
        <item x="5"/>
        <item x="9"/>
        <item m="1" x="15"/>
        <item m="1" x="16"/>
        <item x="3"/>
        <item m="1" x="13"/>
        <item m="1" x="12"/>
        <item m="1" x="11"/>
        <item t="default"/>
      </items>
    </pivotField>
    <pivotField showAll="0"/>
    <pivotField numFmtId="164" showAll="0">
      <items count="15">
        <item x="0"/>
        <item x="1"/>
        <item x="2"/>
        <item x="3"/>
        <item x="4"/>
        <item x="5"/>
        <item x="6"/>
        <item x="7"/>
        <item x="8"/>
        <item x="9"/>
        <item x="10"/>
        <item x="11"/>
        <item x="12"/>
        <item x="13"/>
        <item t="default"/>
      </items>
    </pivotField>
    <pivotField showAll="0">
      <items count="7">
        <item sd="0" x="0"/>
        <item x="1"/>
        <item x="2"/>
        <item x="3"/>
        <item x="4"/>
        <item sd="0" x="5"/>
        <item t="default"/>
      </items>
    </pivotField>
    <pivotField showAll="0">
      <items count="5">
        <item sd="0" x="0"/>
        <item x="1"/>
        <item x="2"/>
        <item sd="0" x="3"/>
        <item t="default"/>
      </items>
    </pivotField>
  </pivotFields>
  <rowFields count="1">
    <field x="0"/>
  </rowFields>
  <rowItems count="11">
    <i>
      <x v="44"/>
    </i>
    <i>
      <x v="36"/>
    </i>
    <i>
      <x v="39"/>
    </i>
    <i>
      <x v="65"/>
    </i>
    <i>
      <x v="76"/>
    </i>
    <i>
      <x v="97"/>
    </i>
    <i>
      <x v="66"/>
    </i>
    <i>
      <x v="70"/>
    </i>
    <i>
      <x v="106"/>
    </i>
    <i>
      <x v="105"/>
    </i>
    <i t="grand">
      <x/>
    </i>
  </rowItems>
  <colItems count="1">
    <i/>
  </colItems>
  <dataFields count="1">
    <dataField name="مجموع مبيعات كل منتج" fld="3"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DB501B-F0D3-402B-B628-1A71D7DCFD33}"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21:B38" firstHeaderRow="1" firstDataRow="1" firstDataCol="1"/>
  <pivotFields count="9">
    <pivotField showAll="0">
      <items count="109">
        <item x="29"/>
        <item x="101"/>
        <item x="0"/>
        <item x="97"/>
        <item x="21"/>
        <item x="57"/>
        <item x="19"/>
        <item x="90"/>
        <item x="41"/>
        <item x="64"/>
        <item x="5"/>
        <item x="30"/>
        <item x="26"/>
        <item x="75"/>
        <item x="76"/>
        <item x="67"/>
        <item x="58"/>
        <item x="17"/>
        <item x="28"/>
        <item x="94"/>
        <item x="42"/>
        <item x="20"/>
        <item x="68"/>
        <item x="69"/>
        <item x="37"/>
        <item x="38"/>
        <item x="66"/>
        <item x="44"/>
        <item x="39"/>
        <item x="18"/>
        <item x="33"/>
        <item x="1"/>
        <item x="46"/>
        <item x="23"/>
        <item x="27"/>
        <item x="22"/>
        <item x="24"/>
        <item x="49"/>
        <item x="102"/>
        <item x="25"/>
        <item x="77"/>
        <item x="40"/>
        <item x="3"/>
        <item x="9"/>
        <item x="15"/>
        <item x="14"/>
        <item x="31"/>
        <item x="12"/>
        <item x="70"/>
        <item x="71"/>
        <item x="72"/>
        <item x="73"/>
        <item x="32"/>
        <item x="81"/>
        <item x="4"/>
        <item x="16"/>
        <item x="87"/>
        <item x="45"/>
        <item x="35"/>
        <item x="13"/>
        <item x="74"/>
        <item x="8"/>
        <item x="60"/>
        <item x="99"/>
        <item x="96"/>
        <item x="10"/>
        <item x="63"/>
        <item x="65"/>
        <item x="79"/>
        <item x="2"/>
        <item x="11"/>
        <item x="36"/>
        <item x="91"/>
        <item x="103"/>
        <item x="105"/>
        <item x="104"/>
        <item x="53"/>
        <item x="51"/>
        <item x="95"/>
        <item x="83"/>
        <item x="80"/>
        <item x="47"/>
        <item x="88"/>
        <item x="54"/>
        <item x="6"/>
        <item x="7"/>
        <item x="43"/>
        <item x="92"/>
        <item x="52"/>
        <item x="85"/>
        <item x="107"/>
        <item x="56"/>
        <item x="82"/>
        <item x="62"/>
        <item x="50"/>
        <item x="61"/>
        <item x="48"/>
        <item x="93"/>
        <item x="78"/>
        <item x="106"/>
        <item x="84"/>
        <item x="100"/>
        <item x="55"/>
        <item x="59"/>
        <item x="34"/>
        <item x="86"/>
        <item x="89"/>
        <item x="98"/>
        <item t="default"/>
      </items>
    </pivotField>
    <pivotField showAll="0"/>
    <pivotField showAll="0"/>
    <pivotField dataField="1" numFmtId="1" showAll="0"/>
    <pivotField showAll="0">
      <items count="18">
        <item x="8"/>
        <item x="7"/>
        <item x="4"/>
        <item x="1"/>
        <item x="10"/>
        <item x="2"/>
        <item m="1" x="14"/>
        <item x="0"/>
        <item x="6"/>
        <item x="5"/>
        <item x="9"/>
        <item m="1" x="15"/>
        <item m="1" x="16"/>
        <item x="3"/>
        <item m="1" x="13"/>
        <item m="1" x="12"/>
        <item m="1" x="11"/>
        <item t="default"/>
      </items>
    </pivotField>
    <pivotField showAll="0"/>
    <pivotField axis="axisRow" numFmtId="164"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3">
    <field x="8"/>
    <field x="7"/>
    <field x="6"/>
  </rowFields>
  <rowItems count="17">
    <i>
      <x v="1"/>
    </i>
    <i r="1">
      <x v="3"/>
    </i>
    <i r="2">
      <x v="8"/>
    </i>
    <i r="2">
      <x v="9"/>
    </i>
    <i r="1">
      <x v="4"/>
    </i>
    <i r="2">
      <x v="10"/>
    </i>
    <i r="2">
      <x v="11"/>
    </i>
    <i r="2">
      <x v="12"/>
    </i>
    <i>
      <x v="2"/>
    </i>
    <i r="1">
      <x v="1"/>
    </i>
    <i r="2">
      <x v="1"/>
    </i>
    <i r="2">
      <x v="2"/>
    </i>
    <i r="2">
      <x v="3"/>
    </i>
    <i r="1">
      <x v="2"/>
    </i>
    <i r="2">
      <x v="4"/>
    </i>
    <i r="2">
      <x v="5"/>
    </i>
    <i t="grand">
      <x/>
    </i>
  </rowItems>
  <colItems count="1">
    <i/>
  </colItems>
  <dataFields count="1">
    <dataField name="مجموع المبيعات لكل شهر" fld="3" baseField="8" baseItem="1" numFmtId="3"/>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BEFF37-88C9-4B5B-B1D0-5C576670D74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5" firstHeaderRow="1" firstDataRow="1" firstDataCol="1"/>
  <pivotFields count="9">
    <pivotField showAll="0"/>
    <pivotField showAll="0"/>
    <pivotField showAll="0"/>
    <pivotField dataField="1" numFmtId="1" showAll="0"/>
    <pivotField axis="axisRow" showAll="0" sortType="descending">
      <items count="18">
        <item x="8"/>
        <item x="7"/>
        <item x="4"/>
        <item x="1"/>
        <item x="10"/>
        <item x="2"/>
        <item m="1" x="14"/>
        <item x="0"/>
        <item x="6"/>
        <item x="5"/>
        <item x="9"/>
        <item m="1" x="15"/>
        <item m="1" x="16"/>
        <item m="1" x="13"/>
        <item m="1" x="12"/>
        <item x="3"/>
        <item m="1" x="11"/>
        <item t="default"/>
      </items>
      <autoSortScope>
        <pivotArea dataOnly="0" outline="0" fieldPosition="0">
          <references count="1">
            <reference field="4294967294" count="1" selected="0">
              <x v="0"/>
            </reference>
          </references>
        </pivotArea>
      </autoSortScope>
    </pivotField>
    <pivotField showAll="0"/>
    <pivotField numFmtId="164" showAll="0">
      <items count="15">
        <item x="0"/>
        <item x="1"/>
        <item x="2"/>
        <item x="3"/>
        <item x="4"/>
        <item x="5"/>
        <item x="6"/>
        <item x="7"/>
        <item x="8"/>
        <item x="9"/>
        <item x="10"/>
        <item x="11"/>
        <item x="12"/>
        <item x="13"/>
        <item t="default"/>
      </items>
    </pivotField>
    <pivotField showAll="0">
      <items count="7">
        <item sd="0" x="0"/>
        <item x="1"/>
        <item x="2"/>
        <item x="3"/>
        <item x="4"/>
        <item sd="0" x="5"/>
        <item t="default"/>
      </items>
    </pivotField>
    <pivotField showAll="0">
      <items count="5">
        <item sd="0" x="0"/>
        <item x="1"/>
        <item x="2"/>
        <item sd="0" x="3"/>
        <item t="default"/>
      </items>
    </pivotField>
  </pivotFields>
  <rowFields count="1">
    <field x="4"/>
  </rowFields>
  <rowItems count="12">
    <i>
      <x v="8"/>
    </i>
    <i>
      <x v="9"/>
    </i>
    <i>
      <x v="10"/>
    </i>
    <i>
      <x v="3"/>
    </i>
    <i>
      <x v="7"/>
    </i>
    <i>
      <x v="4"/>
    </i>
    <i>
      <x v="2"/>
    </i>
    <i>
      <x v="15"/>
    </i>
    <i>
      <x v="5"/>
    </i>
    <i>
      <x v="1"/>
    </i>
    <i>
      <x/>
    </i>
    <i t="grand">
      <x/>
    </i>
  </rowItems>
  <colItems count="1">
    <i/>
  </colItems>
  <dataFields count="1">
    <dataField name="مجموع مبيعات كل عميل" fld="3" baseField="4"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12EF0C-7E67-43DE-A929-1CB81FBEA16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N178" firstHeaderRow="1" firstDataRow="2" firstDataCol="1"/>
  <pivotFields count="10">
    <pivotField axis="axisRow" showAll="0" sortType="ascending">
      <items count="115">
        <item x="29"/>
        <item x="101"/>
        <item x="0"/>
        <item x="97"/>
        <item x="21"/>
        <item x="57"/>
        <item x="19"/>
        <item x="90"/>
        <item x="41"/>
        <item x="64"/>
        <item x="5"/>
        <item x="30"/>
        <item x="26"/>
        <item x="75"/>
        <item x="76"/>
        <item x="67"/>
        <item x="58"/>
        <item x="17"/>
        <item x="28"/>
        <item x="94"/>
        <item x="42"/>
        <item x="20"/>
        <item x="68"/>
        <item x="69"/>
        <item x="37"/>
        <item x="38"/>
        <item x="66"/>
        <item x="44"/>
        <item x="39"/>
        <item x="18"/>
        <item x="33"/>
        <item x="1"/>
        <item x="109"/>
        <item x="46"/>
        <item x="23"/>
        <item x="27"/>
        <item x="22"/>
        <item x="24"/>
        <item x="49"/>
        <item x="102"/>
        <item x="108"/>
        <item x="25"/>
        <item x="77"/>
        <item x="40"/>
        <item x="3"/>
        <item x="9"/>
        <item x="15"/>
        <item x="14"/>
        <item x="31"/>
        <item x="12"/>
        <item x="70"/>
        <item x="71"/>
        <item x="72"/>
        <item x="73"/>
        <item x="32"/>
        <item x="81"/>
        <item x="111"/>
        <item x="4"/>
        <item x="16"/>
        <item x="87"/>
        <item x="45"/>
        <item x="35"/>
        <item x="13"/>
        <item x="74"/>
        <item x="8"/>
        <item x="60"/>
        <item x="99"/>
        <item x="96"/>
        <item x="10"/>
        <item x="63"/>
        <item x="65"/>
        <item x="79"/>
        <item x="2"/>
        <item x="11"/>
        <item x="36"/>
        <item x="91"/>
        <item x="103"/>
        <item x="105"/>
        <item x="104"/>
        <item x="53"/>
        <item x="51"/>
        <item x="95"/>
        <item x="110"/>
        <item x="113"/>
        <item x="83"/>
        <item x="80"/>
        <item x="47"/>
        <item x="88"/>
        <item x="54"/>
        <item x="6"/>
        <item x="7"/>
        <item x="43"/>
        <item x="112"/>
        <item x="92"/>
        <item x="52"/>
        <item x="85"/>
        <item x="107"/>
        <item x="56"/>
        <item x="82"/>
        <item x="62"/>
        <item x="50"/>
        <item x="61"/>
        <item x="48"/>
        <item x="93"/>
        <item x="78"/>
        <item x="106"/>
        <item x="84"/>
        <item x="100"/>
        <item x="55"/>
        <item x="59"/>
        <item x="34"/>
        <item x="86"/>
        <item x="89"/>
        <item x="98"/>
        <item t="default"/>
      </items>
    </pivotField>
    <pivotField dataField="1" showAll="0"/>
    <pivotField showAll="0"/>
    <pivotField numFmtId="1" showAll="0"/>
    <pivotField showAll="0"/>
    <pivotField showAll="0"/>
    <pivotField numFmtId="164" showAll="0">
      <items count="2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Fields count="1">
    <field x="7"/>
  </colFields>
  <colItems count="13">
    <i>
      <x v="1"/>
    </i>
    <i>
      <x v="2"/>
    </i>
    <i>
      <x v="3"/>
    </i>
    <i>
      <x v="4"/>
    </i>
    <i>
      <x v="5"/>
    </i>
    <i>
      <x v="6"/>
    </i>
    <i>
      <x v="7"/>
    </i>
    <i>
      <x v="8"/>
    </i>
    <i>
      <x v="9"/>
    </i>
    <i>
      <x v="10"/>
    </i>
    <i>
      <x v="11"/>
    </i>
    <i>
      <x v="12"/>
    </i>
    <i t="grand">
      <x/>
    </i>
  </colItems>
  <dataFields count="1">
    <dataField name="Sum of quantity"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D4F6B2D-881E-496A-99EC-0449272850CF}" sourceName="product_name">
  <pivotTables>
    <pivotTable tabId="2" name="PivotTable1"/>
  </pivotTables>
  <data>
    <tabular pivotCacheId="828697165">
      <items count="108">
        <i x="29" s="1"/>
        <i x="101" s="1"/>
        <i x="0" s="1"/>
        <i x="97" s="1"/>
        <i x="21" s="1"/>
        <i x="57" s="1"/>
        <i x="19" s="1"/>
        <i x="90" s="1"/>
        <i x="41" s="1"/>
        <i x="64" s="1"/>
        <i x="5" s="1"/>
        <i x="30" s="1"/>
        <i x="26" s="1"/>
        <i x="75" s="1"/>
        <i x="76" s="1"/>
        <i x="67" s="1"/>
        <i x="58" s="1"/>
        <i x="17" s="1"/>
        <i x="28" s="1"/>
        <i x="94" s="1"/>
        <i x="42" s="1"/>
        <i x="20" s="1"/>
        <i x="68" s="1"/>
        <i x="69" s="1"/>
        <i x="37" s="1"/>
        <i x="38" s="1"/>
        <i x="66" s="1"/>
        <i x="44" s="1"/>
        <i x="39" s="1"/>
        <i x="18" s="1"/>
        <i x="33" s="1"/>
        <i x="1" s="1"/>
        <i x="46" s="1"/>
        <i x="23" s="1"/>
        <i x="27" s="1"/>
        <i x="22" s="1"/>
        <i x="24" s="1"/>
        <i x="49" s="1"/>
        <i x="102" s="1"/>
        <i x="25" s="1"/>
        <i x="77" s="1"/>
        <i x="40" s="1"/>
        <i x="3" s="1"/>
        <i x="9" s="1"/>
        <i x="15" s="1"/>
        <i x="14" s="1"/>
        <i x="31" s="1"/>
        <i x="12" s="1"/>
        <i x="70" s="1"/>
        <i x="71" s="1"/>
        <i x="72" s="1"/>
        <i x="73" s="1"/>
        <i x="32" s="1"/>
        <i x="81" s="1"/>
        <i x="4" s="1"/>
        <i x="16" s="1"/>
        <i x="87" s="1"/>
        <i x="45" s="1"/>
        <i x="35" s="1"/>
        <i x="13" s="1"/>
        <i x="74" s="1"/>
        <i x="8" s="1"/>
        <i x="60" s="1"/>
        <i x="99" s="1"/>
        <i x="96" s="1"/>
        <i x="10" s="1"/>
        <i x="63" s="1"/>
        <i x="65" s="1"/>
        <i x="79" s="1"/>
        <i x="2" s="1"/>
        <i x="11" s="1"/>
        <i x="36" s="1"/>
        <i x="91" s="1"/>
        <i x="103" s="1"/>
        <i x="105" s="1"/>
        <i x="104" s="1"/>
        <i x="53" s="1"/>
        <i x="51" s="1"/>
        <i x="95" s="1"/>
        <i x="83" s="1"/>
        <i x="80" s="1"/>
        <i x="47" s="1"/>
        <i x="88" s="1"/>
        <i x="54" s="1"/>
        <i x="6" s="1"/>
        <i x="7" s="1"/>
        <i x="43" s="1"/>
        <i x="92" s="1"/>
        <i x="52" s="1"/>
        <i x="85" s="1"/>
        <i x="107" s="1"/>
        <i x="56" s="1"/>
        <i x="82" s="1"/>
        <i x="62" s="1"/>
        <i x="50" s="1"/>
        <i x="61" s="1"/>
        <i x="48" s="1"/>
        <i x="93" s="1"/>
        <i x="78" s="1"/>
        <i x="106" s="1"/>
        <i x="84" s="1"/>
        <i x="100" s="1"/>
        <i x="55" s="1"/>
        <i x="59" s="1"/>
        <i x="34" s="1"/>
        <i x="86" s="1"/>
        <i x="89" s="1"/>
        <i x="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8CEB4E2-78C7-4505-8202-49506A4250CA}" sourceName="order_date">
  <pivotTables>
    <pivotTable tabId="2" name="PivotTable2"/>
  </pivotTables>
  <data>
    <tabular pivotCacheId="828697165">
      <items count="14">
        <i x="1" s="1"/>
        <i x="2" s="1"/>
        <i x="3" s="1"/>
        <i x="4" s="1"/>
        <i x="5" s="1"/>
        <i x="8" s="1"/>
        <i x="9" s="1"/>
        <i x="10" s="1"/>
        <i x="11" s="1"/>
        <i x="12" s="1"/>
        <i x="6" s="1" nd="1"/>
        <i x="7"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4BCAB036-2E6B-492C-AE89-39FD9572450E}" sourceName="customer_type">
  <pivotTables>
    <pivotTable tabId="2" name="PivotTable2"/>
    <pivotTable tabId="2" name="PivotTable1"/>
  </pivotTables>
  <data>
    <tabular pivotCacheId="828697165">
      <items count="17">
        <i x="8" s="1"/>
        <i x="7" s="1"/>
        <i x="4" s="1"/>
        <i x="1" s="1"/>
        <i x="10" s="1"/>
        <i x="2" s="1"/>
        <i x="0" s="1"/>
        <i x="6" s="1"/>
        <i x="5" s="1"/>
        <i x="9" s="1"/>
        <i x="3" s="1"/>
        <i x="14" s="1" nd="1"/>
        <i x="15" s="1" nd="1"/>
        <i x="16" s="1" nd="1"/>
        <i x="13" s="1" nd="1"/>
        <i x="12"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03DCDFC4-90AE-4E65-87C8-D5B3CEF7E13C}" cache="Slicer_product_name" caption="product_name" startItem="14" rowHeight="234950"/>
  <slicer name="order_date" xr10:uid="{D064A812-6443-4219-A4D2-4F00D153EF07}" cache="Slicer_order_date" caption="order_date" rowHeight="234950"/>
  <slicer name="customer_type" xr10:uid="{EDA4767C-341E-4426-A108-E55867E5E029}" cache="Slicer_customer_type" caption="customer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4AE171-7242-4B4E-A0CE-11DFFC8B4332}" name="Table2" displayName="Table2" ref="A1:G1451" totalsRowShown="0" headerRowBorderDxfId="8" tableBorderDxfId="7">
  <autoFilter ref="A1:G1451" xr:uid="{A24AE171-7242-4B4E-A0CE-11DFFC8B4332}"/>
  <tableColumns count="7">
    <tableColumn id="1" xr3:uid="{71AD6E29-4058-4423-9E87-9B84870F695E}" name="product_name" dataDxfId="6"/>
    <tableColumn id="2" xr3:uid="{A5E05AAC-7DCB-4DE5-B8D8-D638326ABCE0}" name="quantity" dataDxfId="5"/>
    <tableColumn id="3" xr3:uid="{DC3168FC-8273-4187-B246-91B45C0B06D8}" name="unit_price" dataDxfId="4"/>
    <tableColumn id="4" xr3:uid="{B6183C30-1011-4CE5-AC3D-F4D603FAA2A8}" name="total_price" dataDxfId="3">
      <calculatedColumnFormula>B2*C2</calculatedColumnFormula>
    </tableColumn>
    <tableColumn id="5" xr3:uid="{FBDD1B0F-7EC9-4A91-AAA9-CA6120D7A783}" name="customer_type" dataDxfId="2"/>
    <tableColumn id="6" xr3:uid="{A7AB0EDE-1657-460E-8C34-B0BA7669096F}" name="notes" dataDxfId="1"/>
    <tableColumn id="7" xr3:uid="{E46BF6ED-4365-4838-AF13-901A1BCE621F}" name="order_da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94079-0DC8-4E4D-9443-88F09C339769}">
  <dimension ref="A3:DH178"/>
  <sheetViews>
    <sheetView tabSelected="1" workbookViewId="0">
      <selection activeCell="M66" sqref="M66"/>
    </sheetView>
  </sheetViews>
  <sheetFormatPr defaultRowHeight="14.4" x14ac:dyDescent="0.3"/>
  <cols>
    <col min="1" max="1" width="12.5546875" bestFit="1" customWidth="1"/>
    <col min="2" max="2" width="18.88671875" bestFit="1" customWidth="1"/>
    <col min="3" max="3" width="9" bestFit="1" customWidth="1"/>
    <col min="4" max="4" width="7" bestFit="1" customWidth="1"/>
    <col min="5" max="5" width="6" bestFit="1" customWidth="1"/>
    <col min="6" max="6" width="7" bestFit="1" customWidth="1"/>
    <col min="7" max="9" width="6" bestFit="1" customWidth="1"/>
    <col min="10" max="10" width="4.109375" bestFit="1" customWidth="1"/>
    <col min="11" max="12" width="7" bestFit="1" customWidth="1"/>
    <col min="13" max="13" width="4.109375" bestFit="1" customWidth="1"/>
    <col min="14" max="14" width="11" bestFit="1" customWidth="1"/>
    <col min="15" max="32" width="11.44140625" bestFit="1" customWidth="1"/>
    <col min="33" max="40" width="10.21875" bestFit="1" customWidth="1"/>
    <col min="41" max="58" width="11.21875" bestFit="1" customWidth="1"/>
    <col min="59" max="65" width="10.77734375" bestFit="1" customWidth="1"/>
    <col min="66" max="82" width="11.77734375" bestFit="1" customWidth="1"/>
    <col min="83" max="88" width="10.44140625" bestFit="1" customWidth="1"/>
    <col min="89" max="102" width="11.44140625" bestFit="1" customWidth="1"/>
    <col min="103" max="107" width="10.109375" bestFit="1" customWidth="1"/>
    <col min="108" max="120" width="11.109375" bestFit="1" customWidth="1"/>
    <col min="121" max="127" width="10.33203125" bestFit="1" customWidth="1"/>
    <col min="128" max="140" width="11.33203125" bestFit="1" customWidth="1"/>
    <col min="141" max="146" width="10.77734375" bestFit="1" customWidth="1"/>
    <col min="147" max="157" width="11.77734375" bestFit="1" customWidth="1"/>
    <col min="158" max="163" width="10.33203125" bestFit="1" customWidth="1"/>
    <col min="164" max="179" width="11.33203125" bestFit="1" customWidth="1"/>
    <col min="180" max="186" width="11.109375" bestFit="1" customWidth="1"/>
    <col min="187" max="205" width="12.109375" bestFit="1" customWidth="1"/>
    <col min="206" max="209" width="10.21875" bestFit="1" customWidth="1"/>
    <col min="210" max="225" width="11.21875" bestFit="1" customWidth="1"/>
    <col min="226" max="234" width="9.5546875" bestFit="1" customWidth="1"/>
    <col min="235" max="253" width="10.5546875" bestFit="1" customWidth="1"/>
    <col min="254" max="258" width="10.6640625" bestFit="1" customWidth="1"/>
    <col min="259" max="272" width="11.6640625" bestFit="1" customWidth="1"/>
    <col min="273" max="273" width="11" bestFit="1" customWidth="1"/>
  </cols>
  <sheetData>
    <row r="3" spans="1:112" x14ac:dyDescent="0.3">
      <c r="A3" s="3" t="s">
        <v>127</v>
      </c>
      <c r="B3" t="s">
        <v>141</v>
      </c>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row>
    <row r="4" spans="1:112" x14ac:dyDescent="0.3">
      <c r="A4" s="4" t="s">
        <v>62</v>
      </c>
      <c r="B4" s="7">
        <v>2217258</v>
      </c>
    </row>
    <row r="5" spans="1:112" x14ac:dyDescent="0.3">
      <c r="A5" s="4" t="s">
        <v>60</v>
      </c>
      <c r="B5" s="7">
        <v>378930</v>
      </c>
    </row>
    <row r="6" spans="1:112" x14ac:dyDescent="0.3">
      <c r="A6" s="4" t="s">
        <v>113</v>
      </c>
      <c r="B6" s="7">
        <v>322820</v>
      </c>
    </row>
    <row r="7" spans="1:112" x14ac:dyDescent="0.3">
      <c r="A7" s="4" t="s">
        <v>19</v>
      </c>
      <c r="B7" s="7">
        <v>150320</v>
      </c>
    </row>
    <row r="8" spans="1:112" x14ac:dyDescent="0.3">
      <c r="A8" s="4" t="s">
        <v>7</v>
      </c>
      <c r="B8" s="7">
        <v>144471.54</v>
      </c>
    </row>
    <row r="9" spans="1:112" x14ac:dyDescent="0.3">
      <c r="A9" s="4" t="s">
        <v>119</v>
      </c>
      <c r="B9" s="7">
        <v>104185</v>
      </c>
    </row>
    <row r="10" spans="1:112" x14ac:dyDescent="0.3">
      <c r="A10" s="4" t="s">
        <v>52</v>
      </c>
      <c r="B10" s="7">
        <v>79950</v>
      </c>
    </row>
    <row r="11" spans="1:112" x14ac:dyDescent="0.3">
      <c r="A11" s="4" t="s">
        <v>142</v>
      </c>
      <c r="B11" s="7">
        <v>26859</v>
      </c>
    </row>
    <row r="12" spans="1:112" x14ac:dyDescent="0.3">
      <c r="A12" s="4" t="s">
        <v>38</v>
      </c>
      <c r="B12" s="7">
        <v>14460</v>
      </c>
    </row>
    <row r="13" spans="1:112" x14ac:dyDescent="0.3">
      <c r="A13" s="4" t="s">
        <v>79</v>
      </c>
      <c r="B13" s="7">
        <v>10760</v>
      </c>
    </row>
    <row r="14" spans="1:112" x14ac:dyDescent="0.3">
      <c r="A14" s="4" t="s">
        <v>110</v>
      </c>
      <c r="B14" s="7">
        <v>10680</v>
      </c>
    </row>
    <row r="15" spans="1:112" x14ac:dyDescent="0.3">
      <c r="A15" s="4" t="s">
        <v>128</v>
      </c>
      <c r="B15" s="7">
        <v>3460693.54</v>
      </c>
    </row>
    <row r="21" spans="1:2" x14ac:dyDescent="0.3">
      <c r="A21" s="3" t="s">
        <v>127</v>
      </c>
      <c r="B21" t="s">
        <v>143</v>
      </c>
    </row>
    <row r="22" spans="1:2" x14ac:dyDescent="0.3">
      <c r="A22" s="4" t="s">
        <v>129</v>
      </c>
      <c r="B22" s="7">
        <v>2827966.9</v>
      </c>
    </row>
    <row r="23" spans="1:2" x14ac:dyDescent="0.3">
      <c r="A23" s="5" t="s">
        <v>130</v>
      </c>
      <c r="B23" s="7">
        <v>304560</v>
      </c>
    </row>
    <row r="24" spans="1:2" x14ac:dyDescent="0.3">
      <c r="A24" s="6" t="s">
        <v>131</v>
      </c>
      <c r="B24" s="7">
        <v>3190</v>
      </c>
    </row>
    <row r="25" spans="1:2" x14ac:dyDescent="0.3">
      <c r="A25" s="6" t="s">
        <v>132</v>
      </c>
      <c r="B25" s="7">
        <v>301370</v>
      </c>
    </row>
    <row r="26" spans="1:2" x14ac:dyDescent="0.3">
      <c r="A26" s="5" t="s">
        <v>133</v>
      </c>
      <c r="B26" s="7">
        <v>2523406.9</v>
      </c>
    </row>
    <row r="27" spans="1:2" x14ac:dyDescent="0.3">
      <c r="A27" s="6" t="s">
        <v>134</v>
      </c>
      <c r="B27" s="7">
        <v>2139798</v>
      </c>
    </row>
    <row r="28" spans="1:2" x14ac:dyDescent="0.3">
      <c r="A28" s="6" t="s">
        <v>135</v>
      </c>
      <c r="B28" s="7">
        <v>349609</v>
      </c>
    </row>
    <row r="29" spans="1:2" x14ac:dyDescent="0.3">
      <c r="A29" s="6" t="s">
        <v>147</v>
      </c>
      <c r="B29" s="7">
        <v>33999.9</v>
      </c>
    </row>
    <row r="30" spans="1:2" x14ac:dyDescent="0.3">
      <c r="A30" s="4" t="s">
        <v>136</v>
      </c>
      <c r="B30" s="7">
        <v>632726.64</v>
      </c>
    </row>
    <row r="31" spans="1:2" x14ac:dyDescent="0.3">
      <c r="A31" s="5" t="s">
        <v>137</v>
      </c>
      <c r="B31" s="7">
        <v>543026.29</v>
      </c>
    </row>
    <row r="32" spans="1:2" x14ac:dyDescent="0.3">
      <c r="A32" s="6" t="s">
        <v>148</v>
      </c>
      <c r="B32" s="7">
        <v>159022</v>
      </c>
    </row>
    <row r="33" spans="1:2" x14ac:dyDescent="0.3">
      <c r="A33" s="6" t="s">
        <v>138</v>
      </c>
      <c r="B33" s="7">
        <v>265143.89</v>
      </c>
    </row>
    <row r="34" spans="1:2" x14ac:dyDescent="0.3">
      <c r="A34" s="6" t="s">
        <v>139</v>
      </c>
      <c r="B34" s="7">
        <v>118860.40000000001</v>
      </c>
    </row>
    <row r="35" spans="1:2" x14ac:dyDescent="0.3">
      <c r="A35" s="5" t="s">
        <v>144</v>
      </c>
      <c r="B35" s="7">
        <v>89700.35</v>
      </c>
    </row>
    <row r="36" spans="1:2" x14ac:dyDescent="0.3">
      <c r="A36" s="6" t="s">
        <v>145</v>
      </c>
      <c r="B36" s="7">
        <v>10881.35</v>
      </c>
    </row>
    <row r="37" spans="1:2" x14ac:dyDescent="0.3">
      <c r="A37" s="6" t="s">
        <v>146</v>
      </c>
      <c r="B37" s="7">
        <v>78819</v>
      </c>
    </row>
    <row r="38" spans="1:2" x14ac:dyDescent="0.3">
      <c r="A38" s="4" t="s">
        <v>128</v>
      </c>
      <c r="B38" s="7">
        <v>3460693.54</v>
      </c>
    </row>
    <row r="42" spans="1:2" x14ac:dyDescent="0.3">
      <c r="A42" s="3" t="s">
        <v>127</v>
      </c>
      <c r="B42" t="s">
        <v>140</v>
      </c>
    </row>
    <row r="43" spans="1:2" x14ac:dyDescent="0.3">
      <c r="A43" s="4" t="s">
        <v>24</v>
      </c>
      <c r="B43" s="7">
        <v>228750</v>
      </c>
    </row>
    <row r="44" spans="1:2" x14ac:dyDescent="0.3">
      <c r="A44" s="4" t="s">
        <v>33</v>
      </c>
      <c r="B44" s="7">
        <v>193880</v>
      </c>
    </row>
    <row r="45" spans="1:2" x14ac:dyDescent="0.3">
      <c r="A45" s="4" t="s">
        <v>34</v>
      </c>
      <c r="B45" s="7">
        <v>163150</v>
      </c>
    </row>
    <row r="46" spans="1:2" x14ac:dyDescent="0.3">
      <c r="A46" s="4" t="s">
        <v>18</v>
      </c>
      <c r="B46" s="7">
        <v>137445</v>
      </c>
    </row>
    <row r="47" spans="1:2" x14ac:dyDescent="0.3">
      <c r="A47" s="4" t="s">
        <v>67</v>
      </c>
      <c r="B47" s="7">
        <v>114750</v>
      </c>
    </row>
    <row r="48" spans="1:2" x14ac:dyDescent="0.3">
      <c r="A48" s="4" t="s">
        <v>108</v>
      </c>
      <c r="B48" s="7">
        <v>114225</v>
      </c>
    </row>
    <row r="49" spans="1:14" x14ac:dyDescent="0.3">
      <c r="A49" s="4" t="s">
        <v>77</v>
      </c>
      <c r="B49" s="7">
        <v>111570</v>
      </c>
    </row>
    <row r="50" spans="1:14" x14ac:dyDescent="0.3">
      <c r="A50" s="4" t="s">
        <v>20</v>
      </c>
      <c r="B50" s="7">
        <v>109200</v>
      </c>
    </row>
    <row r="51" spans="1:14" x14ac:dyDescent="0.3">
      <c r="A51" s="4" t="s">
        <v>104</v>
      </c>
      <c r="B51" s="7">
        <v>105329.4</v>
      </c>
    </row>
    <row r="52" spans="1:14" x14ac:dyDescent="0.3">
      <c r="A52" s="4" t="s">
        <v>101</v>
      </c>
      <c r="B52" s="7">
        <v>104000</v>
      </c>
    </row>
    <row r="53" spans="1:14" x14ac:dyDescent="0.3">
      <c r="A53" s="4" t="s">
        <v>128</v>
      </c>
      <c r="B53" s="7">
        <v>1382299.4</v>
      </c>
    </row>
    <row r="62" spans="1:14" x14ac:dyDescent="0.3">
      <c r="A62" s="3" t="s">
        <v>156</v>
      </c>
      <c r="B62" s="3" t="s">
        <v>157</v>
      </c>
    </row>
    <row r="63" spans="1:14" x14ac:dyDescent="0.3">
      <c r="A63" s="3" t="s">
        <v>127</v>
      </c>
      <c r="B63" t="s">
        <v>148</v>
      </c>
      <c r="C63" t="s">
        <v>138</v>
      </c>
      <c r="D63" t="s">
        <v>139</v>
      </c>
      <c r="E63" t="s">
        <v>145</v>
      </c>
      <c r="F63" t="s">
        <v>146</v>
      </c>
      <c r="G63" t="s">
        <v>158</v>
      </c>
      <c r="H63" t="s">
        <v>159</v>
      </c>
      <c r="I63" t="s">
        <v>131</v>
      </c>
      <c r="J63" t="s">
        <v>132</v>
      </c>
      <c r="K63" t="s">
        <v>134</v>
      </c>
      <c r="L63" t="s">
        <v>135</v>
      </c>
      <c r="M63" t="s">
        <v>147</v>
      </c>
      <c r="N63" t="s">
        <v>128</v>
      </c>
    </row>
    <row r="64" spans="1:14" x14ac:dyDescent="0.3">
      <c r="A64" s="4" t="s">
        <v>39</v>
      </c>
      <c r="J64">
        <v>1</v>
      </c>
      <c r="K64">
        <v>9</v>
      </c>
      <c r="N64">
        <v>10</v>
      </c>
    </row>
    <row r="65" spans="1:14" x14ac:dyDescent="0.3">
      <c r="A65" s="4" t="s">
        <v>118</v>
      </c>
      <c r="C65">
        <v>3</v>
      </c>
      <c r="E65">
        <v>2</v>
      </c>
      <c r="F65">
        <v>3</v>
      </c>
      <c r="N65">
        <v>8</v>
      </c>
    </row>
    <row r="66" spans="1:14" x14ac:dyDescent="0.3">
      <c r="A66" s="4" t="s">
        <v>6</v>
      </c>
      <c r="B66">
        <v>3</v>
      </c>
      <c r="C66">
        <v>1</v>
      </c>
      <c r="I66">
        <v>2</v>
      </c>
      <c r="J66">
        <v>40</v>
      </c>
      <c r="K66">
        <v>201</v>
      </c>
      <c r="L66">
        <v>25</v>
      </c>
      <c r="M66">
        <v>3</v>
      </c>
      <c r="N66">
        <v>275</v>
      </c>
    </row>
    <row r="67" spans="1:14" x14ac:dyDescent="0.3">
      <c r="A67" s="4" t="s">
        <v>114</v>
      </c>
      <c r="C67">
        <v>4</v>
      </c>
      <c r="E67">
        <v>1</v>
      </c>
      <c r="N67">
        <v>5</v>
      </c>
    </row>
    <row r="68" spans="1:14" x14ac:dyDescent="0.3">
      <c r="A68" s="4" t="s">
        <v>30</v>
      </c>
      <c r="B68">
        <v>1</v>
      </c>
      <c r="C68">
        <v>12</v>
      </c>
      <c r="E68">
        <v>4</v>
      </c>
      <c r="J68">
        <v>12</v>
      </c>
      <c r="K68">
        <v>48</v>
      </c>
      <c r="L68">
        <v>60</v>
      </c>
      <c r="N68">
        <v>137</v>
      </c>
    </row>
    <row r="69" spans="1:14" x14ac:dyDescent="0.3">
      <c r="A69" s="4" t="s">
        <v>71</v>
      </c>
      <c r="K69">
        <v>60</v>
      </c>
      <c r="N69">
        <v>60</v>
      </c>
    </row>
    <row r="70" spans="1:14" x14ac:dyDescent="0.3">
      <c r="A70" s="4" t="s">
        <v>28</v>
      </c>
      <c r="C70">
        <v>12</v>
      </c>
      <c r="G70">
        <v>1</v>
      </c>
      <c r="J70">
        <v>13</v>
      </c>
      <c r="K70">
        <v>12</v>
      </c>
      <c r="L70">
        <v>60</v>
      </c>
      <c r="N70">
        <v>98</v>
      </c>
    </row>
    <row r="71" spans="1:14" x14ac:dyDescent="0.3">
      <c r="A71" s="4" t="s">
        <v>105</v>
      </c>
      <c r="C71">
        <v>15</v>
      </c>
      <c r="L71">
        <v>30</v>
      </c>
      <c r="M71">
        <v>4</v>
      </c>
      <c r="N71">
        <v>49</v>
      </c>
    </row>
    <row r="72" spans="1:14" x14ac:dyDescent="0.3">
      <c r="A72" s="4" t="s">
        <v>53</v>
      </c>
      <c r="J72">
        <v>11</v>
      </c>
      <c r="K72">
        <v>40</v>
      </c>
      <c r="N72">
        <v>51</v>
      </c>
    </row>
    <row r="73" spans="1:14" x14ac:dyDescent="0.3">
      <c r="A73" s="4" t="s">
        <v>78</v>
      </c>
      <c r="K73">
        <v>35</v>
      </c>
      <c r="L73">
        <v>75</v>
      </c>
      <c r="N73">
        <v>110</v>
      </c>
    </row>
    <row r="74" spans="1:14" x14ac:dyDescent="0.3">
      <c r="A74" s="4" t="s">
        <v>12</v>
      </c>
      <c r="C74">
        <v>3</v>
      </c>
      <c r="D74">
        <v>2</v>
      </c>
      <c r="E74">
        <v>10</v>
      </c>
      <c r="F74">
        <v>10</v>
      </c>
      <c r="G74">
        <v>10</v>
      </c>
      <c r="H74">
        <v>5</v>
      </c>
      <c r="I74">
        <v>2</v>
      </c>
      <c r="J74">
        <v>41</v>
      </c>
      <c r="K74">
        <v>118</v>
      </c>
      <c r="N74">
        <v>201</v>
      </c>
    </row>
    <row r="75" spans="1:14" x14ac:dyDescent="0.3">
      <c r="A75" s="4" t="s">
        <v>40</v>
      </c>
      <c r="B75">
        <v>3</v>
      </c>
      <c r="E75">
        <v>1</v>
      </c>
      <c r="I75">
        <v>7</v>
      </c>
      <c r="J75">
        <v>48</v>
      </c>
      <c r="K75">
        <v>114</v>
      </c>
      <c r="L75">
        <v>11</v>
      </c>
      <c r="M75">
        <v>3</v>
      </c>
      <c r="N75">
        <v>187</v>
      </c>
    </row>
    <row r="76" spans="1:14" x14ac:dyDescent="0.3">
      <c r="A76" s="4" t="s">
        <v>35</v>
      </c>
      <c r="F76">
        <v>1</v>
      </c>
      <c r="G76">
        <v>1</v>
      </c>
      <c r="J76">
        <v>33</v>
      </c>
      <c r="K76">
        <v>7</v>
      </c>
      <c r="N76">
        <v>42</v>
      </c>
    </row>
    <row r="77" spans="1:14" x14ac:dyDescent="0.3">
      <c r="A77" s="4" t="s">
        <v>90</v>
      </c>
      <c r="K77">
        <v>24</v>
      </c>
      <c r="N77">
        <v>24</v>
      </c>
    </row>
    <row r="78" spans="1:14" x14ac:dyDescent="0.3">
      <c r="A78" s="4" t="s">
        <v>91</v>
      </c>
      <c r="K78">
        <v>12</v>
      </c>
      <c r="N78">
        <v>12</v>
      </c>
    </row>
    <row r="79" spans="1:14" x14ac:dyDescent="0.3">
      <c r="A79" s="4" t="s">
        <v>82</v>
      </c>
      <c r="C79">
        <v>5</v>
      </c>
      <c r="G79">
        <v>1</v>
      </c>
      <c r="K79">
        <v>48</v>
      </c>
      <c r="L79">
        <v>82</v>
      </c>
      <c r="N79">
        <v>136</v>
      </c>
    </row>
    <row r="80" spans="1:14" x14ac:dyDescent="0.3">
      <c r="A80" s="4" t="s">
        <v>72</v>
      </c>
      <c r="C80">
        <v>12</v>
      </c>
      <c r="K80">
        <v>84</v>
      </c>
      <c r="L80">
        <v>120</v>
      </c>
      <c r="N80">
        <v>216</v>
      </c>
    </row>
    <row r="81" spans="1:14" x14ac:dyDescent="0.3">
      <c r="A81" s="4" t="s">
        <v>26</v>
      </c>
      <c r="E81">
        <v>1</v>
      </c>
      <c r="F81">
        <v>2</v>
      </c>
      <c r="H81">
        <v>1</v>
      </c>
      <c r="J81">
        <v>20</v>
      </c>
      <c r="N81">
        <v>24</v>
      </c>
    </row>
    <row r="82" spans="1:14" x14ac:dyDescent="0.3">
      <c r="A82" s="4" t="s">
        <v>37</v>
      </c>
      <c r="C82">
        <v>1</v>
      </c>
      <c r="J82">
        <v>12</v>
      </c>
      <c r="K82">
        <v>5</v>
      </c>
      <c r="L82">
        <v>1</v>
      </c>
      <c r="N82">
        <v>19</v>
      </c>
    </row>
    <row r="83" spans="1:14" x14ac:dyDescent="0.3">
      <c r="A83" s="4" t="s">
        <v>109</v>
      </c>
      <c r="C83">
        <v>5</v>
      </c>
      <c r="L83">
        <v>3</v>
      </c>
      <c r="N83">
        <v>8</v>
      </c>
    </row>
    <row r="84" spans="1:14" x14ac:dyDescent="0.3">
      <c r="A84" s="4" t="s">
        <v>54</v>
      </c>
      <c r="G84">
        <v>6</v>
      </c>
      <c r="J84">
        <v>1</v>
      </c>
      <c r="K84">
        <v>1</v>
      </c>
      <c r="N84">
        <v>8</v>
      </c>
    </row>
    <row r="85" spans="1:14" x14ac:dyDescent="0.3">
      <c r="A85" s="4" t="s">
        <v>29</v>
      </c>
      <c r="C85">
        <v>15</v>
      </c>
      <c r="J85">
        <v>14</v>
      </c>
      <c r="K85">
        <v>173</v>
      </c>
      <c r="N85">
        <v>202</v>
      </c>
    </row>
    <row r="86" spans="1:14" x14ac:dyDescent="0.3">
      <c r="A86" s="4" t="s">
        <v>83</v>
      </c>
      <c r="K86">
        <v>30</v>
      </c>
      <c r="N86">
        <v>30</v>
      </c>
    </row>
    <row r="87" spans="1:14" x14ac:dyDescent="0.3">
      <c r="A87" s="4" t="s">
        <v>84</v>
      </c>
      <c r="K87">
        <v>24</v>
      </c>
      <c r="N87">
        <v>24</v>
      </c>
    </row>
    <row r="88" spans="1:14" x14ac:dyDescent="0.3">
      <c r="A88" s="4" t="s">
        <v>47</v>
      </c>
      <c r="C88">
        <v>5</v>
      </c>
      <c r="F88">
        <v>1</v>
      </c>
      <c r="J88">
        <v>2</v>
      </c>
      <c r="K88">
        <v>51</v>
      </c>
      <c r="N88">
        <v>59</v>
      </c>
    </row>
    <row r="89" spans="1:14" x14ac:dyDescent="0.3">
      <c r="A89" s="4" t="s">
        <v>48</v>
      </c>
      <c r="J89">
        <v>1</v>
      </c>
      <c r="K89">
        <v>19</v>
      </c>
      <c r="N89">
        <v>20</v>
      </c>
    </row>
    <row r="90" spans="1:14" x14ac:dyDescent="0.3">
      <c r="A90" s="4" t="s">
        <v>81</v>
      </c>
      <c r="K90">
        <v>156</v>
      </c>
      <c r="N90">
        <v>156</v>
      </c>
    </row>
    <row r="91" spans="1:14" x14ac:dyDescent="0.3">
      <c r="A91" s="4" t="s">
        <v>56</v>
      </c>
      <c r="B91">
        <v>2</v>
      </c>
      <c r="C91">
        <v>1</v>
      </c>
      <c r="F91">
        <v>24</v>
      </c>
      <c r="I91">
        <v>1</v>
      </c>
      <c r="J91">
        <v>2</v>
      </c>
      <c r="K91">
        <v>9</v>
      </c>
      <c r="L91">
        <v>1</v>
      </c>
      <c r="M91">
        <v>1</v>
      </c>
      <c r="N91">
        <v>41</v>
      </c>
    </row>
    <row r="92" spans="1:14" x14ac:dyDescent="0.3">
      <c r="A92" s="4" t="s">
        <v>50</v>
      </c>
      <c r="J92">
        <v>1</v>
      </c>
      <c r="K92">
        <v>3</v>
      </c>
      <c r="N92">
        <v>4</v>
      </c>
    </row>
    <row r="93" spans="1:14" x14ac:dyDescent="0.3">
      <c r="A93" s="4" t="s">
        <v>27</v>
      </c>
      <c r="C93">
        <v>18</v>
      </c>
      <c r="J93">
        <v>12</v>
      </c>
      <c r="K93">
        <v>52</v>
      </c>
      <c r="L93">
        <v>65</v>
      </c>
      <c r="N93">
        <v>147</v>
      </c>
    </row>
    <row r="94" spans="1:14" x14ac:dyDescent="0.3">
      <c r="A94" s="4" t="s">
        <v>43</v>
      </c>
      <c r="B94">
        <v>10</v>
      </c>
      <c r="C94">
        <v>8</v>
      </c>
      <c r="D94">
        <v>1</v>
      </c>
      <c r="E94">
        <v>4</v>
      </c>
      <c r="F94">
        <v>7</v>
      </c>
      <c r="G94">
        <v>1</v>
      </c>
      <c r="H94">
        <v>1</v>
      </c>
      <c r="I94">
        <v>3</v>
      </c>
      <c r="J94">
        <v>7</v>
      </c>
      <c r="K94">
        <v>8</v>
      </c>
      <c r="L94">
        <v>12</v>
      </c>
      <c r="M94">
        <v>3</v>
      </c>
      <c r="N94">
        <v>65</v>
      </c>
    </row>
    <row r="95" spans="1:14" x14ac:dyDescent="0.3">
      <c r="A95" s="4" t="s">
        <v>8</v>
      </c>
      <c r="C95">
        <v>1</v>
      </c>
      <c r="D95">
        <v>2</v>
      </c>
      <c r="F95">
        <v>2</v>
      </c>
      <c r="G95">
        <v>5</v>
      </c>
      <c r="H95">
        <v>13</v>
      </c>
      <c r="I95">
        <v>3</v>
      </c>
      <c r="J95">
        <v>26</v>
      </c>
      <c r="K95">
        <v>270</v>
      </c>
      <c r="L95">
        <v>2</v>
      </c>
      <c r="N95">
        <v>324</v>
      </c>
    </row>
    <row r="96" spans="1:14" x14ac:dyDescent="0.3">
      <c r="A96" s="4" t="s">
        <v>150</v>
      </c>
      <c r="G96">
        <v>4</v>
      </c>
      <c r="H96">
        <v>5</v>
      </c>
      <c r="I96">
        <v>1</v>
      </c>
      <c r="N96">
        <v>10</v>
      </c>
    </row>
    <row r="97" spans="1:14" x14ac:dyDescent="0.3">
      <c r="A97" s="4" t="s">
        <v>58</v>
      </c>
      <c r="B97">
        <v>3</v>
      </c>
      <c r="C97">
        <v>1</v>
      </c>
      <c r="F97">
        <v>17</v>
      </c>
      <c r="I97">
        <v>1</v>
      </c>
      <c r="K97">
        <v>188</v>
      </c>
      <c r="M97">
        <v>3</v>
      </c>
      <c r="N97">
        <v>213</v>
      </c>
    </row>
    <row r="98" spans="1:14" x14ac:dyDescent="0.3">
      <c r="A98" s="4" t="s">
        <v>32</v>
      </c>
      <c r="B98">
        <v>8</v>
      </c>
      <c r="G98">
        <v>1</v>
      </c>
      <c r="J98">
        <v>58</v>
      </c>
      <c r="K98">
        <v>301</v>
      </c>
      <c r="N98">
        <v>368</v>
      </c>
    </row>
    <row r="99" spans="1:14" x14ac:dyDescent="0.3">
      <c r="A99" s="4" t="s">
        <v>36</v>
      </c>
      <c r="E99">
        <v>3</v>
      </c>
      <c r="F99">
        <v>4</v>
      </c>
      <c r="J99">
        <v>15</v>
      </c>
      <c r="K99">
        <v>82</v>
      </c>
      <c r="N99">
        <v>104</v>
      </c>
    </row>
    <row r="100" spans="1:14" x14ac:dyDescent="0.3">
      <c r="A100" s="4" t="s">
        <v>31</v>
      </c>
      <c r="C100">
        <v>3</v>
      </c>
      <c r="G100">
        <v>1</v>
      </c>
      <c r="J100">
        <v>30</v>
      </c>
      <c r="K100">
        <v>213</v>
      </c>
      <c r="M100">
        <v>1</v>
      </c>
      <c r="N100">
        <v>248</v>
      </c>
    </row>
    <row r="101" spans="1:14" x14ac:dyDescent="0.3">
      <c r="A101" s="4" t="s">
        <v>33</v>
      </c>
      <c r="B101">
        <v>20</v>
      </c>
      <c r="C101">
        <v>21</v>
      </c>
      <c r="D101">
        <v>7</v>
      </c>
      <c r="J101">
        <v>11</v>
      </c>
      <c r="K101">
        <v>62</v>
      </c>
      <c r="L101">
        <v>15</v>
      </c>
      <c r="M101">
        <v>3</v>
      </c>
      <c r="N101">
        <v>139</v>
      </c>
    </row>
    <row r="102" spans="1:14" x14ac:dyDescent="0.3">
      <c r="A102" s="4" t="s">
        <v>63</v>
      </c>
      <c r="K102">
        <v>14</v>
      </c>
      <c r="N102">
        <v>14</v>
      </c>
    </row>
    <row r="103" spans="1:14" x14ac:dyDescent="0.3">
      <c r="A103" s="4" t="s">
        <v>120</v>
      </c>
      <c r="C103">
        <v>5</v>
      </c>
      <c r="N103">
        <v>5</v>
      </c>
    </row>
    <row r="104" spans="1:14" x14ac:dyDescent="0.3">
      <c r="A104" s="4" t="s">
        <v>149</v>
      </c>
      <c r="G104">
        <v>13</v>
      </c>
      <c r="H104">
        <v>7</v>
      </c>
      <c r="I104">
        <v>7</v>
      </c>
      <c r="N104">
        <v>27</v>
      </c>
    </row>
    <row r="105" spans="1:14" x14ac:dyDescent="0.3">
      <c r="A105" s="4" t="s">
        <v>34</v>
      </c>
      <c r="B105">
        <v>20</v>
      </c>
      <c r="C105">
        <v>21</v>
      </c>
      <c r="D105">
        <v>17</v>
      </c>
      <c r="F105">
        <v>8</v>
      </c>
      <c r="G105">
        <v>1</v>
      </c>
      <c r="J105">
        <v>12</v>
      </c>
      <c r="K105">
        <v>98</v>
      </c>
      <c r="L105">
        <v>5</v>
      </c>
      <c r="M105">
        <v>5</v>
      </c>
      <c r="N105">
        <v>187</v>
      </c>
    </row>
    <row r="106" spans="1:14" x14ac:dyDescent="0.3">
      <c r="A106" s="4" t="s">
        <v>92</v>
      </c>
      <c r="K106">
        <v>60</v>
      </c>
      <c r="N106">
        <v>60</v>
      </c>
    </row>
    <row r="107" spans="1:14" x14ac:dyDescent="0.3">
      <c r="A107" s="4" t="s">
        <v>51</v>
      </c>
      <c r="C107">
        <v>15</v>
      </c>
      <c r="D107">
        <v>24</v>
      </c>
      <c r="J107">
        <v>4</v>
      </c>
      <c r="K107">
        <v>40</v>
      </c>
      <c r="L107">
        <v>26</v>
      </c>
      <c r="M107">
        <v>1</v>
      </c>
      <c r="N107">
        <v>110</v>
      </c>
    </row>
    <row r="108" spans="1:14" x14ac:dyDescent="0.3">
      <c r="A108" s="4" t="s">
        <v>10</v>
      </c>
      <c r="C108">
        <v>6</v>
      </c>
      <c r="D108">
        <v>2</v>
      </c>
      <c r="E108">
        <v>6</v>
      </c>
      <c r="F108">
        <v>2</v>
      </c>
      <c r="H108">
        <v>2</v>
      </c>
      <c r="I108">
        <v>1</v>
      </c>
      <c r="J108">
        <v>54</v>
      </c>
      <c r="K108">
        <v>200</v>
      </c>
      <c r="L108">
        <v>30</v>
      </c>
      <c r="N108">
        <v>303</v>
      </c>
    </row>
    <row r="109" spans="1:14" x14ac:dyDescent="0.3">
      <c r="A109" s="4" t="s">
        <v>16</v>
      </c>
      <c r="I109">
        <v>2</v>
      </c>
      <c r="J109">
        <v>4</v>
      </c>
      <c r="N109">
        <v>6</v>
      </c>
    </row>
    <row r="110" spans="1:14" x14ac:dyDescent="0.3">
      <c r="A110" s="4" t="s">
        <v>24</v>
      </c>
      <c r="B110">
        <v>25</v>
      </c>
      <c r="C110">
        <v>21</v>
      </c>
      <c r="D110">
        <v>17</v>
      </c>
      <c r="F110">
        <v>8</v>
      </c>
      <c r="J110">
        <v>21</v>
      </c>
      <c r="K110">
        <v>102</v>
      </c>
      <c r="L110">
        <v>6</v>
      </c>
      <c r="M110">
        <v>4</v>
      </c>
      <c r="N110">
        <v>204</v>
      </c>
    </row>
    <row r="111" spans="1:14" x14ac:dyDescent="0.3">
      <c r="A111" s="4" t="s">
        <v>23</v>
      </c>
      <c r="F111">
        <v>1</v>
      </c>
      <c r="J111">
        <v>36</v>
      </c>
      <c r="K111">
        <v>145</v>
      </c>
      <c r="L111">
        <v>4</v>
      </c>
      <c r="N111">
        <v>186</v>
      </c>
    </row>
    <row r="112" spans="1:14" x14ac:dyDescent="0.3">
      <c r="A112" s="4" t="s">
        <v>41</v>
      </c>
      <c r="J112">
        <v>9</v>
      </c>
      <c r="K112">
        <v>15</v>
      </c>
      <c r="L112">
        <v>1</v>
      </c>
      <c r="N112">
        <v>25</v>
      </c>
    </row>
    <row r="113" spans="1:14" x14ac:dyDescent="0.3">
      <c r="A113" s="4" t="s">
        <v>21</v>
      </c>
      <c r="B113">
        <v>1.5</v>
      </c>
      <c r="C113">
        <v>10.6653</v>
      </c>
      <c r="H113">
        <v>3.19</v>
      </c>
      <c r="J113">
        <v>12</v>
      </c>
      <c r="K113">
        <v>193</v>
      </c>
      <c r="L113">
        <v>12</v>
      </c>
      <c r="N113">
        <v>232.3553</v>
      </c>
    </row>
    <row r="114" spans="1:14" x14ac:dyDescent="0.3">
      <c r="A114" s="4" t="s">
        <v>85</v>
      </c>
      <c r="K114">
        <v>30</v>
      </c>
      <c r="N114">
        <v>30</v>
      </c>
    </row>
    <row r="115" spans="1:14" x14ac:dyDescent="0.3">
      <c r="A115" s="4" t="s">
        <v>86</v>
      </c>
      <c r="K115">
        <v>24</v>
      </c>
      <c r="N115">
        <v>24</v>
      </c>
    </row>
    <row r="116" spans="1:14" x14ac:dyDescent="0.3">
      <c r="A116" s="4" t="s">
        <v>87</v>
      </c>
      <c r="K116">
        <v>24</v>
      </c>
      <c r="N116">
        <v>24</v>
      </c>
    </row>
    <row r="117" spans="1:14" x14ac:dyDescent="0.3">
      <c r="A117" s="4" t="s">
        <v>88</v>
      </c>
      <c r="K117">
        <v>24</v>
      </c>
      <c r="N117">
        <v>24</v>
      </c>
    </row>
    <row r="118" spans="1:14" x14ac:dyDescent="0.3">
      <c r="A118" s="4" t="s">
        <v>42</v>
      </c>
      <c r="C118">
        <v>2</v>
      </c>
      <c r="F118">
        <v>8</v>
      </c>
      <c r="G118">
        <v>2</v>
      </c>
      <c r="J118">
        <v>17</v>
      </c>
      <c r="K118">
        <v>18</v>
      </c>
      <c r="L118">
        <v>3</v>
      </c>
      <c r="N118">
        <v>50</v>
      </c>
    </row>
    <row r="119" spans="1:14" x14ac:dyDescent="0.3">
      <c r="A119" s="4" t="s">
        <v>96</v>
      </c>
      <c r="H119">
        <v>3</v>
      </c>
      <c r="I119">
        <v>1</v>
      </c>
      <c r="K119">
        <v>60</v>
      </c>
      <c r="N119">
        <v>64</v>
      </c>
    </row>
    <row r="120" spans="1:14" x14ac:dyDescent="0.3">
      <c r="A120" s="4" t="s">
        <v>152</v>
      </c>
      <c r="G120">
        <v>1</v>
      </c>
      <c r="H120">
        <v>5</v>
      </c>
      <c r="I120">
        <v>6</v>
      </c>
      <c r="N120">
        <v>12</v>
      </c>
    </row>
    <row r="121" spans="1:14" x14ac:dyDescent="0.3">
      <c r="A121" s="4" t="s">
        <v>11</v>
      </c>
      <c r="B121">
        <v>16</v>
      </c>
      <c r="C121">
        <v>8</v>
      </c>
      <c r="D121">
        <v>18</v>
      </c>
      <c r="E121">
        <v>10</v>
      </c>
      <c r="F121">
        <v>6</v>
      </c>
      <c r="G121">
        <v>9</v>
      </c>
      <c r="H121">
        <v>21</v>
      </c>
      <c r="I121">
        <v>6</v>
      </c>
      <c r="J121">
        <v>13</v>
      </c>
      <c r="K121">
        <v>29</v>
      </c>
      <c r="L121">
        <v>13</v>
      </c>
      <c r="M121">
        <v>13</v>
      </c>
      <c r="N121">
        <v>162</v>
      </c>
    </row>
    <row r="122" spans="1:14" x14ac:dyDescent="0.3">
      <c r="A122" s="4" t="s">
        <v>25</v>
      </c>
      <c r="J122">
        <v>35</v>
      </c>
      <c r="K122">
        <v>144</v>
      </c>
      <c r="L122">
        <v>1</v>
      </c>
      <c r="N122">
        <v>180</v>
      </c>
    </row>
    <row r="123" spans="1:14" x14ac:dyDescent="0.3">
      <c r="A123" s="4" t="s">
        <v>102</v>
      </c>
      <c r="C123">
        <v>5</v>
      </c>
      <c r="E123">
        <v>2</v>
      </c>
      <c r="F123">
        <v>7</v>
      </c>
      <c r="G123">
        <v>4</v>
      </c>
      <c r="H123">
        <v>2</v>
      </c>
      <c r="I123">
        <v>3</v>
      </c>
      <c r="K123">
        <v>483</v>
      </c>
      <c r="N123">
        <v>506</v>
      </c>
    </row>
    <row r="124" spans="1:14" x14ac:dyDescent="0.3">
      <c r="A124" s="4" t="s">
        <v>57</v>
      </c>
      <c r="K124">
        <v>62</v>
      </c>
      <c r="N124">
        <v>62</v>
      </c>
    </row>
    <row r="125" spans="1:14" x14ac:dyDescent="0.3">
      <c r="A125" s="4" t="s">
        <v>45</v>
      </c>
      <c r="J125">
        <v>4</v>
      </c>
      <c r="K125">
        <v>20.5</v>
      </c>
      <c r="N125">
        <v>24.5</v>
      </c>
    </row>
    <row r="126" spans="1:14" x14ac:dyDescent="0.3">
      <c r="A126" s="4" t="s">
        <v>22</v>
      </c>
      <c r="J126">
        <v>37</v>
      </c>
      <c r="K126">
        <v>72</v>
      </c>
      <c r="N126">
        <v>109</v>
      </c>
    </row>
    <row r="127" spans="1:14" x14ac:dyDescent="0.3">
      <c r="A127" s="4" t="s">
        <v>89</v>
      </c>
      <c r="K127">
        <v>12</v>
      </c>
      <c r="N127">
        <v>12</v>
      </c>
    </row>
    <row r="128" spans="1:14" x14ac:dyDescent="0.3">
      <c r="A128" s="4" t="s">
        <v>15</v>
      </c>
      <c r="B128">
        <v>3</v>
      </c>
      <c r="H128">
        <v>1</v>
      </c>
      <c r="I128">
        <v>1</v>
      </c>
      <c r="J128">
        <v>2</v>
      </c>
      <c r="K128">
        <v>4</v>
      </c>
      <c r="L128">
        <v>1</v>
      </c>
      <c r="N128">
        <v>12</v>
      </c>
    </row>
    <row r="129" spans="1:14" x14ac:dyDescent="0.3">
      <c r="A129" s="4" t="s">
        <v>74</v>
      </c>
      <c r="B129">
        <v>7</v>
      </c>
      <c r="C129">
        <v>41.5</v>
      </c>
      <c r="D129">
        <v>20</v>
      </c>
      <c r="E129">
        <v>2.65</v>
      </c>
      <c r="F129">
        <v>1.2000000000000002</v>
      </c>
      <c r="G129">
        <v>1.87</v>
      </c>
      <c r="H129">
        <v>3.92</v>
      </c>
      <c r="I129">
        <v>1.6</v>
      </c>
      <c r="K129">
        <v>40</v>
      </c>
      <c r="L129">
        <v>6</v>
      </c>
      <c r="M129">
        <v>2</v>
      </c>
      <c r="N129">
        <v>127.74000000000001</v>
      </c>
    </row>
    <row r="130" spans="1:14" x14ac:dyDescent="0.3">
      <c r="A130" s="4" t="s">
        <v>116</v>
      </c>
      <c r="C130">
        <v>16</v>
      </c>
      <c r="D130">
        <v>20</v>
      </c>
      <c r="F130">
        <v>3.0700000000000003</v>
      </c>
      <c r="G130">
        <v>1.575</v>
      </c>
      <c r="H130">
        <v>1.4300000000000002</v>
      </c>
      <c r="I130">
        <v>2</v>
      </c>
      <c r="N130">
        <v>44.075000000000003</v>
      </c>
    </row>
    <row r="131" spans="1:14" x14ac:dyDescent="0.3">
      <c r="A131" s="4" t="s">
        <v>112</v>
      </c>
      <c r="C131">
        <v>18</v>
      </c>
      <c r="D131">
        <v>20.400000000000002</v>
      </c>
      <c r="E131">
        <v>1.1000000000000001</v>
      </c>
      <c r="F131">
        <v>22.2</v>
      </c>
      <c r="G131">
        <v>0.875</v>
      </c>
      <c r="H131">
        <v>2.68</v>
      </c>
      <c r="I131">
        <v>3</v>
      </c>
      <c r="L131">
        <v>1</v>
      </c>
      <c r="N131">
        <v>69.25500000000001</v>
      </c>
    </row>
    <row r="132" spans="1:14" x14ac:dyDescent="0.3">
      <c r="A132" s="4" t="s">
        <v>18</v>
      </c>
      <c r="G132">
        <v>4.5</v>
      </c>
      <c r="H132">
        <v>4.4000000000000004</v>
      </c>
      <c r="I132">
        <v>1.5</v>
      </c>
      <c r="J132">
        <v>47</v>
      </c>
      <c r="K132">
        <v>241.5</v>
      </c>
      <c r="L132">
        <v>4</v>
      </c>
      <c r="N132">
        <v>302.89999999999998</v>
      </c>
    </row>
    <row r="133" spans="1:14" x14ac:dyDescent="0.3">
      <c r="A133" s="4" t="s">
        <v>77</v>
      </c>
      <c r="K133">
        <v>279</v>
      </c>
      <c r="L133">
        <v>18</v>
      </c>
      <c r="M133">
        <v>2</v>
      </c>
      <c r="N133">
        <v>299</v>
      </c>
    </row>
    <row r="134" spans="1:14" x14ac:dyDescent="0.3">
      <c r="A134" s="4" t="s">
        <v>80</v>
      </c>
      <c r="K134">
        <v>60</v>
      </c>
      <c r="N134">
        <v>60</v>
      </c>
    </row>
    <row r="135" spans="1:14" x14ac:dyDescent="0.3">
      <c r="A135" s="4" t="s">
        <v>94</v>
      </c>
      <c r="K135">
        <v>60</v>
      </c>
      <c r="N135">
        <v>60</v>
      </c>
    </row>
    <row r="136" spans="1:14" x14ac:dyDescent="0.3">
      <c r="A136" s="4" t="s">
        <v>9</v>
      </c>
      <c r="D136">
        <v>1</v>
      </c>
      <c r="F136">
        <v>1</v>
      </c>
      <c r="I136">
        <v>4</v>
      </c>
      <c r="J136">
        <v>57</v>
      </c>
      <c r="K136">
        <v>396</v>
      </c>
      <c r="L136">
        <v>1</v>
      </c>
      <c r="N136">
        <v>460</v>
      </c>
    </row>
    <row r="137" spans="1:14" x14ac:dyDescent="0.3">
      <c r="A137" s="4" t="s">
        <v>20</v>
      </c>
      <c r="B137">
        <v>16</v>
      </c>
      <c r="C137">
        <v>35</v>
      </c>
      <c r="D137">
        <v>15</v>
      </c>
      <c r="E137">
        <v>2</v>
      </c>
      <c r="F137">
        <v>14</v>
      </c>
      <c r="G137">
        <v>2</v>
      </c>
      <c r="H137">
        <v>4</v>
      </c>
      <c r="I137">
        <v>2</v>
      </c>
      <c r="J137">
        <v>60</v>
      </c>
      <c r="K137">
        <v>64.5</v>
      </c>
      <c r="L137">
        <v>14.2</v>
      </c>
      <c r="M137">
        <v>5</v>
      </c>
      <c r="N137">
        <v>233.7</v>
      </c>
    </row>
    <row r="138" spans="1:14" x14ac:dyDescent="0.3">
      <c r="A138" s="4" t="s">
        <v>46</v>
      </c>
      <c r="C138">
        <v>6</v>
      </c>
      <c r="J138">
        <v>1</v>
      </c>
      <c r="K138">
        <v>143</v>
      </c>
      <c r="L138">
        <v>15</v>
      </c>
      <c r="M138">
        <v>6</v>
      </c>
      <c r="N138">
        <v>171</v>
      </c>
    </row>
    <row r="139" spans="1:14" x14ac:dyDescent="0.3">
      <c r="A139" s="4" t="s">
        <v>106</v>
      </c>
      <c r="L139">
        <v>50</v>
      </c>
      <c r="N139">
        <v>50</v>
      </c>
    </row>
    <row r="140" spans="1:14" x14ac:dyDescent="0.3">
      <c r="A140" s="4" t="s">
        <v>121</v>
      </c>
      <c r="C140">
        <v>4</v>
      </c>
      <c r="N140">
        <v>4</v>
      </c>
    </row>
    <row r="141" spans="1:14" x14ac:dyDescent="0.3">
      <c r="A141" s="4" t="s">
        <v>123</v>
      </c>
      <c r="F141">
        <v>20</v>
      </c>
      <c r="N141">
        <v>20</v>
      </c>
    </row>
    <row r="142" spans="1:14" x14ac:dyDescent="0.3">
      <c r="A142" s="4" t="s">
        <v>122</v>
      </c>
      <c r="D142">
        <v>2</v>
      </c>
      <c r="F142">
        <v>1</v>
      </c>
      <c r="I142">
        <v>1</v>
      </c>
      <c r="N142">
        <v>4</v>
      </c>
    </row>
    <row r="143" spans="1:14" x14ac:dyDescent="0.3">
      <c r="A143" s="4" t="s">
        <v>67</v>
      </c>
      <c r="C143">
        <v>5</v>
      </c>
      <c r="K143">
        <v>180</v>
      </c>
      <c r="L143">
        <v>4</v>
      </c>
      <c r="N143">
        <v>189</v>
      </c>
    </row>
    <row r="144" spans="1:14" x14ac:dyDescent="0.3">
      <c r="A144" s="4" t="s">
        <v>65</v>
      </c>
      <c r="B144">
        <v>6.25</v>
      </c>
      <c r="C144">
        <v>8.5</v>
      </c>
      <c r="D144">
        <v>1.46</v>
      </c>
      <c r="H144">
        <v>3.2</v>
      </c>
      <c r="K144">
        <v>221</v>
      </c>
      <c r="L144">
        <v>13.1</v>
      </c>
      <c r="M144">
        <v>1</v>
      </c>
      <c r="N144">
        <v>254.51</v>
      </c>
    </row>
    <row r="145" spans="1:14" x14ac:dyDescent="0.3">
      <c r="A145" s="4" t="s">
        <v>111</v>
      </c>
      <c r="B145">
        <v>3</v>
      </c>
      <c r="C145">
        <v>1</v>
      </c>
      <c r="E145">
        <v>1</v>
      </c>
      <c r="F145">
        <v>1</v>
      </c>
      <c r="L145">
        <v>4</v>
      </c>
      <c r="N145">
        <v>10</v>
      </c>
    </row>
    <row r="146" spans="1:14" x14ac:dyDescent="0.3">
      <c r="A146" s="4" t="s">
        <v>151</v>
      </c>
      <c r="G146">
        <v>1</v>
      </c>
      <c r="N146">
        <v>1</v>
      </c>
    </row>
    <row r="147" spans="1:14" x14ac:dyDescent="0.3">
      <c r="A147" s="4" t="s">
        <v>155</v>
      </c>
      <c r="I147">
        <v>2</v>
      </c>
      <c r="N147">
        <v>2</v>
      </c>
    </row>
    <row r="148" spans="1:14" x14ac:dyDescent="0.3">
      <c r="A148" s="4" t="s">
        <v>98</v>
      </c>
      <c r="C148">
        <v>1</v>
      </c>
      <c r="K148">
        <v>2</v>
      </c>
      <c r="L148">
        <v>4</v>
      </c>
      <c r="N148">
        <v>7</v>
      </c>
    </row>
    <row r="149" spans="1:14" x14ac:dyDescent="0.3">
      <c r="A149" s="4" t="s">
        <v>95</v>
      </c>
      <c r="K149">
        <v>47</v>
      </c>
      <c r="N149">
        <v>47</v>
      </c>
    </row>
    <row r="150" spans="1:14" x14ac:dyDescent="0.3">
      <c r="A150" s="4" t="s">
        <v>59</v>
      </c>
      <c r="K150">
        <v>13</v>
      </c>
      <c r="N150">
        <v>13</v>
      </c>
    </row>
    <row r="151" spans="1:14" x14ac:dyDescent="0.3">
      <c r="A151" s="4" t="s">
        <v>103</v>
      </c>
      <c r="K151">
        <v>6</v>
      </c>
      <c r="N151">
        <v>6</v>
      </c>
    </row>
    <row r="152" spans="1:14" x14ac:dyDescent="0.3">
      <c r="A152" s="4" t="s">
        <v>68</v>
      </c>
      <c r="K152">
        <v>12</v>
      </c>
      <c r="N152">
        <v>12</v>
      </c>
    </row>
    <row r="153" spans="1:14" x14ac:dyDescent="0.3">
      <c r="A153" s="4" t="s">
        <v>13</v>
      </c>
      <c r="I153">
        <v>1</v>
      </c>
      <c r="J153">
        <v>39</v>
      </c>
      <c r="K153">
        <v>166</v>
      </c>
      <c r="L153">
        <v>1</v>
      </c>
      <c r="N153">
        <v>207</v>
      </c>
    </row>
    <row r="154" spans="1:14" x14ac:dyDescent="0.3">
      <c r="A154" s="4" t="s">
        <v>14</v>
      </c>
      <c r="C154">
        <v>3</v>
      </c>
      <c r="D154">
        <v>6</v>
      </c>
      <c r="E154">
        <v>31</v>
      </c>
      <c r="F154">
        <v>52</v>
      </c>
      <c r="I154">
        <v>2</v>
      </c>
      <c r="J154">
        <v>16</v>
      </c>
      <c r="K154">
        <v>51</v>
      </c>
      <c r="L154">
        <v>3</v>
      </c>
      <c r="N154">
        <v>164</v>
      </c>
    </row>
    <row r="155" spans="1:14" x14ac:dyDescent="0.3">
      <c r="A155" s="4" t="s">
        <v>55</v>
      </c>
      <c r="J155">
        <v>1</v>
      </c>
      <c r="K155">
        <v>9</v>
      </c>
      <c r="N155">
        <v>10</v>
      </c>
    </row>
    <row r="156" spans="1:14" x14ac:dyDescent="0.3">
      <c r="A156" s="4" t="s">
        <v>154</v>
      </c>
      <c r="I156">
        <v>5</v>
      </c>
      <c r="N156">
        <v>5</v>
      </c>
    </row>
    <row r="157" spans="1:14" x14ac:dyDescent="0.3">
      <c r="A157" s="4" t="s">
        <v>107</v>
      </c>
      <c r="L157">
        <v>1</v>
      </c>
      <c r="N157">
        <v>1</v>
      </c>
    </row>
    <row r="158" spans="1:14" x14ac:dyDescent="0.3">
      <c r="A158" s="4" t="s">
        <v>66</v>
      </c>
      <c r="K158">
        <v>10</v>
      </c>
      <c r="N158">
        <v>10</v>
      </c>
    </row>
    <row r="159" spans="1:14" x14ac:dyDescent="0.3">
      <c r="A159" s="4" t="s">
        <v>100</v>
      </c>
      <c r="K159">
        <v>12</v>
      </c>
      <c r="N159">
        <v>12</v>
      </c>
    </row>
    <row r="160" spans="1:14" x14ac:dyDescent="0.3">
      <c r="A160" s="4" t="s">
        <v>125</v>
      </c>
      <c r="F160">
        <v>2</v>
      </c>
      <c r="G160">
        <v>2</v>
      </c>
      <c r="N160">
        <v>4</v>
      </c>
    </row>
    <row r="161" spans="1:14" x14ac:dyDescent="0.3">
      <c r="A161" s="4" t="s">
        <v>70</v>
      </c>
      <c r="C161">
        <v>13</v>
      </c>
      <c r="K161">
        <v>80</v>
      </c>
      <c r="L161">
        <v>80</v>
      </c>
      <c r="N161">
        <v>173</v>
      </c>
    </row>
    <row r="162" spans="1:14" x14ac:dyDescent="0.3">
      <c r="A162" s="4" t="s">
        <v>97</v>
      </c>
      <c r="C162">
        <v>9</v>
      </c>
      <c r="K162">
        <v>36</v>
      </c>
      <c r="N162">
        <v>45</v>
      </c>
    </row>
    <row r="163" spans="1:14" x14ac:dyDescent="0.3">
      <c r="A163" s="4" t="s">
        <v>76</v>
      </c>
      <c r="K163">
        <v>2</v>
      </c>
      <c r="N163">
        <v>2</v>
      </c>
    </row>
    <row r="164" spans="1:14" x14ac:dyDescent="0.3">
      <c r="A164" s="4" t="s">
        <v>64</v>
      </c>
      <c r="B164">
        <v>10</v>
      </c>
      <c r="C164">
        <v>4</v>
      </c>
      <c r="D164">
        <v>1</v>
      </c>
      <c r="E164">
        <v>1</v>
      </c>
      <c r="F164">
        <v>1</v>
      </c>
      <c r="G164">
        <v>1</v>
      </c>
      <c r="K164">
        <v>24</v>
      </c>
      <c r="L164">
        <v>2</v>
      </c>
      <c r="M164">
        <v>7</v>
      </c>
      <c r="N164">
        <v>51</v>
      </c>
    </row>
    <row r="165" spans="1:14" x14ac:dyDescent="0.3">
      <c r="A165" s="4" t="s">
        <v>75</v>
      </c>
      <c r="K165">
        <v>1</v>
      </c>
      <c r="M165">
        <v>1</v>
      </c>
      <c r="N165">
        <v>2</v>
      </c>
    </row>
    <row r="166" spans="1:14" x14ac:dyDescent="0.3">
      <c r="A166" s="4" t="s">
        <v>61</v>
      </c>
      <c r="K166">
        <v>110</v>
      </c>
      <c r="N166">
        <v>110</v>
      </c>
    </row>
    <row r="167" spans="1:14" x14ac:dyDescent="0.3">
      <c r="A167" s="4" t="s">
        <v>108</v>
      </c>
      <c r="B167">
        <v>20</v>
      </c>
      <c r="C167">
        <v>15</v>
      </c>
      <c r="D167">
        <v>17</v>
      </c>
      <c r="F167">
        <v>9</v>
      </c>
      <c r="L167">
        <v>15</v>
      </c>
      <c r="M167">
        <v>4</v>
      </c>
      <c r="N167">
        <v>80</v>
      </c>
    </row>
    <row r="168" spans="1:14" x14ac:dyDescent="0.3">
      <c r="A168" s="4" t="s">
        <v>93</v>
      </c>
      <c r="K168">
        <v>20</v>
      </c>
      <c r="N168">
        <v>20</v>
      </c>
    </row>
    <row r="169" spans="1:14" x14ac:dyDescent="0.3">
      <c r="A169" s="4" t="s">
        <v>124</v>
      </c>
      <c r="F169">
        <v>25</v>
      </c>
      <c r="G169">
        <v>6</v>
      </c>
      <c r="H169">
        <v>3</v>
      </c>
      <c r="N169">
        <v>34</v>
      </c>
    </row>
    <row r="170" spans="1:14" x14ac:dyDescent="0.3">
      <c r="A170" s="4" t="s">
        <v>99</v>
      </c>
      <c r="K170">
        <v>8</v>
      </c>
      <c r="N170">
        <v>8</v>
      </c>
    </row>
    <row r="171" spans="1:14" x14ac:dyDescent="0.3">
      <c r="A171" s="4" t="s">
        <v>117</v>
      </c>
      <c r="C171">
        <v>24</v>
      </c>
      <c r="D171">
        <v>12</v>
      </c>
      <c r="N171">
        <v>36</v>
      </c>
    </row>
    <row r="172" spans="1:14" x14ac:dyDescent="0.3">
      <c r="A172" s="4" t="s">
        <v>69</v>
      </c>
      <c r="K172">
        <v>116</v>
      </c>
      <c r="N172">
        <v>116</v>
      </c>
    </row>
    <row r="173" spans="1:14" x14ac:dyDescent="0.3">
      <c r="A173" s="4" t="s">
        <v>73</v>
      </c>
      <c r="C173">
        <v>14</v>
      </c>
      <c r="K173">
        <v>72</v>
      </c>
      <c r="L173">
        <v>67</v>
      </c>
      <c r="N173">
        <v>153</v>
      </c>
    </row>
    <row r="174" spans="1:14" x14ac:dyDescent="0.3">
      <c r="A174" s="4" t="s">
        <v>44</v>
      </c>
      <c r="C174">
        <v>2</v>
      </c>
      <c r="D174">
        <v>2</v>
      </c>
      <c r="F174">
        <v>2</v>
      </c>
      <c r="G174">
        <v>1</v>
      </c>
      <c r="J174">
        <v>5</v>
      </c>
      <c r="K174">
        <v>1</v>
      </c>
      <c r="M174">
        <v>1</v>
      </c>
      <c r="N174">
        <v>14</v>
      </c>
    </row>
    <row r="175" spans="1:14" x14ac:dyDescent="0.3">
      <c r="A175" s="4" t="s">
        <v>101</v>
      </c>
      <c r="K175">
        <v>488</v>
      </c>
      <c r="L175">
        <v>8</v>
      </c>
      <c r="N175">
        <v>496</v>
      </c>
    </row>
    <row r="176" spans="1:14" x14ac:dyDescent="0.3">
      <c r="A176" s="4" t="s">
        <v>104</v>
      </c>
      <c r="B176">
        <v>5</v>
      </c>
      <c r="C176">
        <v>21.45</v>
      </c>
      <c r="D176">
        <v>2.5</v>
      </c>
      <c r="E176">
        <v>10</v>
      </c>
      <c r="F176">
        <v>16.75</v>
      </c>
      <c r="G176">
        <v>7.25</v>
      </c>
      <c r="H176">
        <v>6.5</v>
      </c>
      <c r="I176">
        <v>1.75</v>
      </c>
      <c r="L176">
        <v>28</v>
      </c>
      <c r="M176">
        <v>11</v>
      </c>
      <c r="N176">
        <v>110.2</v>
      </c>
    </row>
    <row r="177" spans="1:14" x14ac:dyDescent="0.3">
      <c r="A177" s="4" t="s">
        <v>115</v>
      </c>
      <c r="C177">
        <v>70</v>
      </c>
      <c r="N177">
        <v>70</v>
      </c>
    </row>
    <row r="178" spans="1:14" x14ac:dyDescent="0.3">
      <c r="A178" s="4" t="s">
        <v>128</v>
      </c>
      <c r="B178">
        <v>182.75</v>
      </c>
      <c r="C178">
        <v>551.11529999999993</v>
      </c>
      <c r="D178">
        <v>210.36</v>
      </c>
      <c r="E178">
        <v>92.75</v>
      </c>
      <c r="F178">
        <v>282.22000000000003</v>
      </c>
      <c r="G178">
        <v>90.07</v>
      </c>
      <c r="H178">
        <v>98.320000000000022</v>
      </c>
      <c r="I178">
        <v>73.849999999999994</v>
      </c>
      <c r="J178">
        <v>897</v>
      </c>
      <c r="K178">
        <v>7303.5</v>
      </c>
      <c r="L178">
        <v>1003.3000000000001</v>
      </c>
      <c r="M178">
        <v>84</v>
      </c>
      <c r="N178">
        <v>10869.2353</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51"/>
  <sheetViews>
    <sheetView topLeftCell="A425" zoomScale="120" zoomScaleNormal="120" workbookViewId="0">
      <selection activeCell="C1455" sqref="C1455"/>
    </sheetView>
  </sheetViews>
  <sheetFormatPr defaultRowHeight="14.4" x14ac:dyDescent="0.3"/>
  <cols>
    <col min="1" max="1" width="18" bestFit="1" customWidth="1"/>
    <col min="2" max="2" width="9.6640625" customWidth="1"/>
    <col min="3" max="3" width="11" style="2" customWidth="1"/>
    <col min="4" max="4" width="11.6640625" style="2" customWidth="1"/>
    <col min="5" max="5" width="15.33203125" customWidth="1"/>
    <col min="6" max="6" width="7.21875" customWidth="1"/>
    <col min="7" max="7" width="18.109375" style="1" bestFit="1" customWidth="1"/>
  </cols>
  <sheetData>
    <row r="1" spans="1:10" x14ac:dyDescent="0.3">
      <c r="A1" s="12" t="s">
        <v>0</v>
      </c>
      <c r="B1" s="12" t="s">
        <v>1</v>
      </c>
      <c r="C1" s="13" t="s">
        <v>2</v>
      </c>
      <c r="D1" s="13" t="s">
        <v>3</v>
      </c>
      <c r="E1" s="14" t="s">
        <v>126</v>
      </c>
      <c r="F1" s="12" t="s">
        <v>4</v>
      </c>
      <c r="G1" s="15" t="s">
        <v>5</v>
      </c>
    </row>
    <row r="2" spans="1:10" x14ac:dyDescent="0.3">
      <c r="A2" t="s">
        <v>203</v>
      </c>
      <c r="B2">
        <v>1</v>
      </c>
      <c r="C2" s="2">
        <v>350</v>
      </c>
      <c r="D2" s="2">
        <f>B2*C2</f>
        <v>350</v>
      </c>
      <c r="E2" t="s">
        <v>7</v>
      </c>
      <c r="G2" s="1">
        <v>45531</v>
      </c>
    </row>
    <row r="3" spans="1:10" x14ac:dyDescent="0.3">
      <c r="A3" t="s">
        <v>171</v>
      </c>
      <c r="B3">
        <v>1</v>
      </c>
      <c r="C3" s="2">
        <v>280</v>
      </c>
      <c r="D3" s="2">
        <f t="shared" ref="D3:D66" si="0">B3*C3</f>
        <v>280</v>
      </c>
      <c r="E3" t="s">
        <v>7</v>
      </c>
      <c r="G3" s="1">
        <v>45531</v>
      </c>
    </row>
    <row r="4" spans="1:10" x14ac:dyDescent="0.3">
      <c r="A4" t="s">
        <v>203</v>
      </c>
      <c r="B4">
        <v>1</v>
      </c>
      <c r="C4" s="2">
        <v>350</v>
      </c>
      <c r="D4" s="2">
        <f t="shared" si="0"/>
        <v>350</v>
      </c>
      <c r="E4" t="s">
        <v>7</v>
      </c>
      <c r="G4" s="1">
        <v>45531</v>
      </c>
    </row>
    <row r="5" spans="1:10" x14ac:dyDescent="0.3">
      <c r="A5" t="s">
        <v>215</v>
      </c>
      <c r="B5">
        <v>1</v>
      </c>
      <c r="C5" s="2">
        <v>100</v>
      </c>
      <c r="D5" s="2">
        <f t="shared" si="0"/>
        <v>100</v>
      </c>
      <c r="E5" t="s">
        <v>7</v>
      </c>
      <c r="G5" s="1">
        <v>45531</v>
      </c>
    </row>
    <row r="6" spans="1:10" x14ac:dyDescent="0.3">
      <c r="A6" t="s">
        <v>178</v>
      </c>
      <c r="B6">
        <v>1</v>
      </c>
      <c r="C6" s="2">
        <v>280</v>
      </c>
      <c r="D6" s="2">
        <f t="shared" si="0"/>
        <v>280</v>
      </c>
      <c r="E6" t="s">
        <v>7</v>
      </c>
      <c r="G6" s="1">
        <v>45531</v>
      </c>
    </row>
    <row r="7" spans="1:10" x14ac:dyDescent="0.3">
      <c r="A7" t="s">
        <v>162</v>
      </c>
      <c r="B7">
        <v>1</v>
      </c>
      <c r="C7" s="2">
        <v>20</v>
      </c>
      <c r="D7" s="2">
        <f t="shared" si="0"/>
        <v>20</v>
      </c>
      <c r="E7" t="s">
        <v>7</v>
      </c>
      <c r="G7" s="1">
        <v>45532</v>
      </c>
    </row>
    <row r="8" spans="1:10" x14ac:dyDescent="0.3">
      <c r="A8" t="s">
        <v>182</v>
      </c>
      <c r="B8">
        <v>2</v>
      </c>
      <c r="C8" s="2">
        <v>350</v>
      </c>
      <c r="D8" s="2">
        <f t="shared" si="0"/>
        <v>700</v>
      </c>
      <c r="E8" t="s">
        <v>7</v>
      </c>
      <c r="G8" s="1">
        <v>45533</v>
      </c>
    </row>
    <row r="9" spans="1:10" x14ac:dyDescent="0.3">
      <c r="A9" t="s">
        <v>215</v>
      </c>
      <c r="B9">
        <v>2</v>
      </c>
      <c r="C9" s="2">
        <v>130</v>
      </c>
      <c r="D9" s="2">
        <f t="shared" si="0"/>
        <v>260</v>
      </c>
      <c r="E9" t="s">
        <v>7</v>
      </c>
      <c r="G9" s="1">
        <v>45533</v>
      </c>
      <c r="I9">
        <f>SUBTOTAL(9,B270:B564)</f>
        <v>7162.4999999999991</v>
      </c>
    </row>
    <row r="10" spans="1:10" x14ac:dyDescent="0.3">
      <c r="A10" t="s">
        <v>13</v>
      </c>
      <c r="B10">
        <v>1</v>
      </c>
      <c r="C10" s="2">
        <v>350</v>
      </c>
      <c r="D10" s="2">
        <f t="shared" si="0"/>
        <v>350</v>
      </c>
      <c r="E10" t="s">
        <v>7</v>
      </c>
      <c r="G10" s="1">
        <v>45533</v>
      </c>
    </row>
    <row r="11" spans="1:10" x14ac:dyDescent="0.3">
      <c r="A11" t="s">
        <v>14</v>
      </c>
      <c r="B11">
        <v>2</v>
      </c>
      <c r="C11" s="2">
        <v>20</v>
      </c>
      <c r="D11" s="2">
        <f t="shared" si="0"/>
        <v>40</v>
      </c>
      <c r="E11" t="s">
        <v>7</v>
      </c>
      <c r="G11" s="1">
        <v>45535</v>
      </c>
    </row>
    <row r="12" spans="1:10" x14ac:dyDescent="0.3">
      <c r="A12" t="s">
        <v>225</v>
      </c>
      <c r="B12">
        <v>1</v>
      </c>
      <c r="C12" s="2">
        <v>40</v>
      </c>
      <c r="D12" s="2">
        <f t="shared" si="0"/>
        <v>40</v>
      </c>
      <c r="E12" t="s">
        <v>7</v>
      </c>
      <c r="G12" s="1">
        <v>45535</v>
      </c>
    </row>
    <row r="13" spans="1:10" x14ac:dyDescent="0.3">
      <c r="A13" t="s">
        <v>172</v>
      </c>
      <c r="B13">
        <v>1</v>
      </c>
      <c r="C13" s="2">
        <v>320</v>
      </c>
      <c r="D13" s="2">
        <f t="shared" si="0"/>
        <v>320</v>
      </c>
      <c r="E13" t="s">
        <v>7</v>
      </c>
      <c r="F13" t="s">
        <v>17</v>
      </c>
      <c r="G13" s="1">
        <v>45535</v>
      </c>
      <c r="J13" t="s">
        <v>227</v>
      </c>
    </row>
    <row r="14" spans="1:10" x14ac:dyDescent="0.3">
      <c r="A14" t="s">
        <v>215</v>
      </c>
      <c r="B14">
        <v>1</v>
      </c>
      <c r="C14" s="2">
        <v>100</v>
      </c>
      <c r="D14" s="2">
        <f t="shared" si="0"/>
        <v>100</v>
      </c>
      <c r="E14" t="s">
        <v>7</v>
      </c>
      <c r="G14" s="1">
        <v>45535</v>
      </c>
    </row>
    <row r="15" spans="1:10" x14ac:dyDescent="0.3">
      <c r="A15" t="s">
        <v>171</v>
      </c>
      <c r="B15">
        <v>1</v>
      </c>
      <c r="C15" s="2">
        <v>230</v>
      </c>
      <c r="D15" s="2">
        <f t="shared" si="0"/>
        <v>230</v>
      </c>
      <c r="E15" t="s">
        <v>7</v>
      </c>
      <c r="G15" s="1">
        <v>45536</v>
      </c>
      <c r="I15">
        <f>SUBTOTAL(9,B3:B1415)</f>
        <v>12970.330000000014</v>
      </c>
    </row>
    <row r="16" spans="1:10" x14ac:dyDescent="0.3">
      <c r="A16" t="s">
        <v>174</v>
      </c>
      <c r="B16">
        <v>35</v>
      </c>
      <c r="C16" s="2">
        <v>480</v>
      </c>
      <c r="D16" s="2">
        <f t="shared" si="0"/>
        <v>16800</v>
      </c>
      <c r="E16" t="s">
        <v>19</v>
      </c>
      <c r="F16" t="s">
        <v>17</v>
      </c>
      <c r="G16" s="1">
        <v>45536</v>
      </c>
    </row>
    <row r="17" spans="1:9" x14ac:dyDescent="0.3">
      <c r="A17" t="s">
        <v>176</v>
      </c>
      <c r="B17">
        <v>35</v>
      </c>
      <c r="C17" s="2">
        <v>450</v>
      </c>
      <c r="D17" s="2">
        <f t="shared" si="0"/>
        <v>15750</v>
      </c>
      <c r="E17" t="s">
        <v>19</v>
      </c>
      <c r="F17" t="s">
        <v>17</v>
      </c>
      <c r="G17" s="1">
        <v>45536</v>
      </c>
    </row>
    <row r="18" spans="1:9" x14ac:dyDescent="0.3">
      <c r="A18" t="s">
        <v>179</v>
      </c>
      <c r="B18">
        <v>10</v>
      </c>
      <c r="C18" s="2">
        <v>250</v>
      </c>
      <c r="D18" s="2">
        <f t="shared" si="0"/>
        <v>2500</v>
      </c>
      <c r="E18" t="s">
        <v>19</v>
      </c>
      <c r="F18" t="s">
        <v>17</v>
      </c>
      <c r="G18" s="1">
        <v>45536</v>
      </c>
    </row>
    <row r="19" spans="1:9" x14ac:dyDescent="0.3">
      <c r="A19" t="s">
        <v>13</v>
      </c>
      <c r="B19">
        <v>12</v>
      </c>
      <c r="C19" s="2">
        <v>250</v>
      </c>
      <c r="D19" s="2">
        <f t="shared" si="0"/>
        <v>3000</v>
      </c>
      <c r="E19" t="s">
        <v>19</v>
      </c>
      <c r="F19" t="s">
        <v>17</v>
      </c>
      <c r="G19" s="1">
        <v>45536</v>
      </c>
      <c r="I19">
        <f>SUBTOTAL(9,B10:B611)</f>
        <v>8934.9</v>
      </c>
    </row>
    <row r="20" spans="1:9" x14ac:dyDescent="0.3">
      <c r="A20" t="s">
        <v>208</v>
      </c>
      <c r="B20">
        <v>24</v>
      </c>
      <c r="C20" s="2">
        <v>750</v>
      </c>
      <c r="D20" s="2">
        <f t="shared" si="0"/>
        <v>18000</v>
      </c>
      <c r="E20" t="s">
        <v>19</v>
      </c>
      <c r="F20" t="s">
        <v>17</v>
      </c>
      <c r="G20" s="1">
        <v>45536</v>
      </c>
    </row>
    <row r="21" spans="1:9" x14ac:dyDescent="0.3">
      <c r="A21" t="s">
        <v>191</v>
      </c>
      <c r="B21">
        <v>16</v>
      </c>
      <c r="C21" s="2">
        <v>360</v>
      </c>
      <c r="D21" s="2">
        <f t="shared" si="0"/>
        <v>5760</v>
      </c>
      <c r="E21" t="s">
        <v>19</v>
      </c>
      <c r="F21" t="s">
        <v>17</v>
      </c>
      <c r="G21" s="1">
        <v>45536</v>
      </c>
    </row>
    <row r="22" spans="1:9" x14ac:dyDescent="0.3">
      <c r="A22" t="s">
        <v>194</v>
      </c>
      <c r="B22">
        <v>5</v>
      </c>
      <c r="C22" s="2">
        <v>1280</v>
      </c>
      <c r="D22" s="2">
        <f t="shared" si="0"/>
        <v>6400</v>
      </c>
      <c r="E22" t="s">
        <v>19</v>
      </c>
      <c r="F22" t="s">
        <v>17</v>
      </c>
      <c r="G22" s="1">
        <v>45536</v>
      </c>
    </row>
    <row r="23" spans="1:9" x14ac:dyDescent="0.3">
      <c r="A23" t="s">
        <v>205</v>
      </c>
      <c r="B23">
        <v>8</v>
      </c>
      <c r="C23" s="2">
        <v>420</v>
      </c>
      <c r="D23" s="2">
        <f t="shared" si="0"/>
        <v>3360</v>
      </c>
      <c r="E23" t="s">
        <v>19</v>
      </c>
      <c r="F23" t="s">
        <v>17</v>
      </c>
      <c r="G23" s="1">
        <v>45536</v>
      </c>
    </row>
    <row r="24" spans="1:9" x14ac:dyDescent="0.3">
      <c r="A24" t="s">
        <v>203</v>
      </c>
      <c r="B24">
        <v>20</v>
      </c>
      <c r="C24" s="2">
        <v>350</v>
      </c>
      <c r="D24" s="2">
        <f t="shared" si="0"/>
        <v>7000</v>
      </c>
      <c r="E24" t="s">
        <v>19</v>
      </c>
      <c r="F24" t="s">
        <v>17</v>
      </c>
      <c r="G24" s="1">
        <v>45536</v>
      </c>
    </row>
    <row r="25" spans="1:9" x14ac:dyDescent="0.3">
      <c r="A25" t="s">
        <v>177</v>
      </c>
      <c r="B25">
        <v>20</v>
      </c>
      <c r="C25" s="2">
        <v>230</v>
      </c>
      <c r="D25" s="2">
        <f t="shared" si="0"/>
        <v>4600</v>
      </c>
      <c r="E25" t="s">
        <v>19</v>
      </c>
      <c r="F25" t="s">
        <v>17</v>
      </c>
      <c r="G25" s="1">
        <v>45536</v>
      </c>
    </row>
    <row r="26" spans="1:9" x14ac:dyDescent="0.3">
      <c r="A26" t="s">
        <v>178</v>
      </c>
      <c r="B26">
        <v>30</v>
      </c>
      <c r="C26" s="2">
        <v>180</v>
      </c>
      <c r="D26" s="2">
        <f t="shared" si="0"/>
        <v>5400</v>
      </c>
      <c r="E26" t="s">
        <v>19</v>
      </c>
      <c r="F26" t="s">
        <v>17</v>
      </c>
      <c r="G26" s="1">
        <v>45536</v>
      </c>
    </row>
    <row r="27" spans="1:9" x14ac:dyDescent="0.3">
      <c r="A27" t="s">
        <v>199</v>
      </c>
      <c r="B27">
        <v>12</v>
      </c>
      <c r="C27" s="2">
        <v>270</v>
      </c>
      <c r="D27" s="2">
        <f t="shared" si="0"/>
        <v>3240</v>
      </c>
      <c r="E27" t="s">
        <v>19</v>
      </c>
      <c r="F27" t="s">
        <v>17</v>
      </c>
      <c r="G27" s="1">
        <v>45536</v>
      </c>
    </row>
    <row r="28" spans="1:9" x14ac:dyDescent="0.3">
      <c r="A28" t="s">
        <v>180</v>
      </c>
      <c r="B28">
        <v>12</v>
      </c>
      <c r="C28" s="2">
        <v>280</v>
      </c>
      <c r="D28" s="2">
        <f t="shared" si="0"/>
        <v>3360</v>
      </c>
      <c r="E28" t="s">
        <v>19</v>
      </c>
      <c r="F28" t="s">
        <v>17</v>
      </c>
      <c r="G28" s="1">
        <v>45536</v>
      </c>
    </row>
    <row r="29" spans="1:9" x14ac:dyDescent="0.3">
      <c r="A29" t="s">
        <v>197</v>
      </c>
      <c r="B29">
        <v>12</v>
      </c>
      <c r="C29" s="2">
        <v>300</v>
      </c>
      <c r="D29" s="2">
        <f t="shared" si="0"/>
        <v>3600</v>
      </c>
      <c r="E29" t="s">
        <v>19</v>
      </c>
      <c r="F29" t="s">
        <v>17</v>
      </c>
      <c r="G29" s="1">
        <v>45536</v>
      </c>
    </row>
    <row r="30" spans="1:9" x14ac:dyDescent="0.3">
      <c r="A30" t="s">
        <v>193</v>
      </c>
      <c r="B30">
        <v>12</v>
      </c>
      <c r="C30" s="2">
        <v>300</v>
      </c>
      <c r="D30" s="2">
        <f t="shared" si="0"/>
        <v>3600</v>
      </c>
      <c r="E30" t="s">
        <v>19</v>
      </c>
      <c r="F30" t="s">
        <v>17</v>
      </c>
      <c r="G30" s="1">
        <v>45536</v>
      </c>
    </row>
    <row r="31" spans="1:9" x14ac:dyDescent="0.3">
      <c r="A31" t="s">
        <v>182</v>
      </c>
      <c r="B31">
        <v>15</v>
      </c>
      <c r="C31" s="2">
        <v>230</v>
      </c>
      <c r="D31" s="2">
        <f t="shared" si="0"/>
        <v>3450</v>
      </c>
      <c r="E31" t="s">
        <v>19</v>
      </c>
      <c r="F31" t="s">
        <v>17</v>
      </c>
      <c r="G31" s="1">
        <v>45536</v>
      </c>
      <c r="I31">
        <f>SUBTOTAL(9,B8:B1197)</f>
        <v>10665.460000000014</v>
      </c>
    </row>
    <row r="32" spans="1:9" x14ac:dyDescent="0.3">
      <c r="A32" t="s">
        <v>187</v>
      </c>
      <c r="B32">
        <v>30</v>
      </c>
      <c r="C32" s="2">
        <v>160</v>
      </c>
      <c r="D32" s="2">
        <f t="shared" si="0"/>
        <v>4800</v>
      </c>
      <c r="E32" t="s">
        <v>19</v>
      </c>
      <c r="F32" t="s">
        <v>17</v>
      </c>
      <c r="G32" s="1">
        <v>45536</v>
      </c>
    </row>
    <row r="33" spans="1:10" x14ac:dyDescent="0.3">
      <c r="A33" t="s">
        <v>171</v>
      </c>
      <c r="B33">
        <v>20</v>
      </c>
      <c r="C33" s="2">
        <v>230</v>
      </c>
      <c r="D33" s="2">
        <f t="shared" si="0"/>
        <v>4600</v>
      </c>
      <c r="E33" t="s">
        <v>19</v>
      </c>
      <c r="F33" t="s">
        <v>17</v>
      </c>
      <c r="G33" s="1">
        <v>45536</v>
      </c>
    </row>
    <row r="34" spans="1:10" x14ac:dyDescent="0.3">
      <c r="A34" t="s">
        <v>181</v>
      </c>
      <c r="B34">
        <v>20</v>
      </c>
      <c r="C34" s="2">
        <v>200</v>
      </c>
      <c r="D34" s="2">
        <f t="shared" si="0"/>
        <v>4000</v>
      </c>
      <c r="E34" t="s">
        <v>19</v>
      </c>
      <c r="F34" t="s">
        <v>17</v>
      </c>
      <c r="G34" s="1">
        <v>45536</v>
      </c>
    </row>
    <row r="35" spans="1:10" x14ac:dyDescent="0.3">
      <c r="A35" t="s">
        <v>195</v>
      </c>
      <c r="B35">
        <v>10</v>
      </c>
      <c r="C35" s="2">
        <v>1200</v>
      </c>
      <c r="D35" s="2">
        <f t="shared" si="0"/>
        <v>12000</v>
      </c>
      <c r="E35" t="s">
        <v>19</v>
      </c>
      <c r="F35" t="s">
        <v>17</v>
      </c>
      <c r="G35" s="1">
        <v>45536</v>
      </c>
    </row>
    <row r="36" spans="1:10" x14ac:dyDescent="0.3">
      <c r="A36" t="s">
        <v>185</v>
      </c>
      <c r="B36">
        <v>10</v>
      </c>
      <c r="C36" s="2">
        <v>650</v>
      </c>
      <c r="D36" s="2">
        <f t="shared" si="0"/>
        <v>6500</v>
      </c>
      <c r="E36" t="s">
        <v>19</v>
      </c>
      <c r="F36" t="s">
        <v>17</v>
      </c>
      <c r="G36" s="1">
        <v>45536</v>
      </c>
    </row>
    <row r="37" spans="1:10" x14ac:dyDescent="0.3">
      <c r="A37" t="s">
        <v>186</v>
      </c>
      <c r="B37">
        <v>30</v>
      </c>
      <c r="C37" s="2">
        <v>420</v>
      </c>
      <c r="D37" s="2">
        <f t="shared" si="0"/>
        <v>12600</v>
      </c>
      <c r="E37" t="s">
        <v>19</v>
      </c>
      <c r="F37" t="s">
        <v>17</v>
      </c>
      <c r="G37" s="1">
        <v>45536</v>
      </c>
    </row>
    <row r="38" spans="1:10" x14ac:dyDescent="0.3">
      <c r="A38" t="s">
        <v>190</v>
      </c>
      <c r="B38">
        <v>1</v>
      </c>
      <c r="C38" s="2">
        <v>200</v>
      </c>
      <c r="D38" s="2">
        <f t="shared" si="0"/>
        <v>200</v>
      </c>
      <c r="E38" t="s">
        <v>7</v>
      </c>
      <c r="G38" s="1">
        <v>45537</v>
      </c>
    </row>
    <row r="39" spans="1:10" x14ac:dyDescent="0.3">
      <c r="A39" t="s">
        <v>181</v>
      </c>
      <c r="B39">
        <v>1</v>
      </c>
      <c r="C39" s="2">
        <v>200</v>
      </c>
      <c r="D39" s="2">
        <f t="shared" si="0"/>
        <v>200</v>
      </c>
      <c r="E39" t="s">
        <v>7</v>
      </c>
      <c r="G39" s="1">
        <v>45537</v>
      </c>
      <c r="I39">
        <f>SUBTOTAL(9,B34:B781)</f>
        <v>9094.4300000000057</v>
      </c>
    </row>
    <row r="40" spans="1:10" x14ac:dyDescent="0.3">
      <c r="A40" t="s">
        <v>202</v>
      </c>
      <c r="B40">
        <v>1</v>
      </c>
      <c r="C40" s="2">
        <v>200</v>
      </c>
      <c r="D40" s="2">
        <f t="shared" si="0"/>
        <v>200</v>
      </c>
      <c r="E40" t="s">
        <v>7</v>
      </c>
      <c r="G40" s="1">
        <v>45537</v>
      </c>
    </row>
    <row r="41" spans="1:10" x14ac:dyDescent="0.3">
      <c r="A41" t="s">
        <v>225</v>
      </c>
      <c r="B41">
        <v>1</v>
      </c>
      <c r="C41" s="2">
        <v>35</v>
      </c>
      <c r="D41" s="2">
        <f t="shared" si="0"/>
        <v>35</v>
      </c>
      <c r="E41" t="s">
        <v>7</v>
      </c>
      <c r="G41" s="1">
        <v>45537</v>
      </c>
    </row>
    <row r="42" spans="1:10" x14ac:dyDescent="0.3">
      <c r="A42" t="s">
        <v>178</v>
      </c>
      <c r="B42">
        <v>1</v>
      </c>
      <c r="C42" s="2">
        <v>170</v>
      </c>
      <c r="D42" s="2">
        <f t="shared" si="0"/>
        <v>170</v>
      </c>
      <c r="E42" t="s">
        <v>7</v>
      </c>
      <c r="G42" s="1">
        <v>45537</v>
      </c>
      <c r="J42">
        <f>SUBTOTAL(9,B:B)</f>
        <v>13016.180000000015</v>
      </c>
    </row>
    <row r="43" spans="1:10" x14ac:dyDescent="0.3">
      <c r="A43" t="s">
        <v>191</v>
      </c>
      <c r="B43">
        <v>18</v>
      </c>
      <c r="C43" s="2">
        <v>370</v>
      </c>
      <c r="D43" s="2">
        <f t="shared" si="0"/>
        <v>6660</v>
      </c>
      <c r="E43" t="s">
        <v>38</v>
      </c>
      <c r="G43" s="1">
        <v>45537</v>
      </c>
    </row>
    <row r="44" spans="1:10" x14ac:dyDescent="0.3">
      <c r="A44" t="s">
        <v>208</v>
      </c>
      <c r="B44">
        <v>10</v>
      </c>
      <c r="C44" s="2">
        <v>780</v>
      </c>
      <c r="D44" s="2">
        <f t="shared" si="0"/>
        <v>7800</v>
      </c>
      <c r="E44" t="s">
        <v>38</v>
      </c>
      <c r="G44" s="1">
        <v>45537</v>
      </c>
    </row>
    <row r="45" spans="1:10" x14ac:dyDescent="0.3">
      <c r="A45" t="s">
        <v>215</v>
      </c>
      <c r="B45">
        <v>1</v>
      </c>
      <c r="C45" s="2">
        <v>70</v>
      </c>
      <c r="D45" s="2">
        <f t="shared" si="0"/>
        <v>70</v>
      </c>
      <c r="E45" t="s">
        <v>7</v>
      </c>
      <c r="G45" s="1">
        <v>45538</v>
      </c>
    </row>
    <row r="46" spans="1:10" x14ac:dyDescent="0.3">
      <c r="A46" t="s">
        <v>39</v>
      </c>
      <c r="B46">
        <v>1</v>
      </c>
      <c r="C46" s="2">
        <v>60</v>
      </c>
      <c r="D46" s="2">
        <f t="shared" si="0"/>
        <v>60</v>
      </c>
      <c r="E46" t="s">
        <v>7</v>
      </c>
      <c r="G46" s="1">
        <v>45538</v>
      </c>
    </row>
    <row r="47" spans="1:10" x14ac:dyDescent="0.3">
      <c r="A47" t="s">
        <v>178</v>
      </c>
      <c r="B47">
        <v>1</v>
      </c>
      <c r="C47" s="2">
        <v>150</v>
      </c>
      <c r="D47" s="2">
        <f t="shared" si="0"/>
        <v>150</v>
      </c>
      <c r="E47" t="s">
        <v>7</v>
      </c>
      <c r="G47" s="1">
        <v>45538</v>
      </c>
    </row>
    <row r="48" spans="1:10" x14ac:dyDescent="0.3">
      <c r="A48" t="s">
        <v>197</v>
      </c>
      <c r="B48">
        <v>1</v>
      </c>
      <c r="C48" s="2">
        <v>250</v>
      </c>
      <c r="D48" s="2">
        <f t="shared" si="0"/>
        <v>250</v>
      </c>
      <c r="E48" t="s">
        <v>7</v>
      </c>
      <c r="G48" s="1">
        <v>45538</v>
      </c>
    </row>
    <row r="49" spans="1:10" x14ac:dyDescent="0.3">
      <c r="A49" t="s">
        <v>14</v>
      </c>
      <c r="B49">
        <v>1</v>
      </c>
      <c r="C49" s="2">
        <v>20</v>
      </c>
      <c r="D49" s="2">
        <f t="shared" si="0"/>
        <v>20</v>
      </c>
      <c r="E49" t="s">
        <v>7</v>
      </c>
      <c r="G49" s="1">
        <v>45538</v>
      </c>
      <c r="I49">
        <f>SUBTOTAL(9,B11:B947)</f>
        <v>10131.460000000005</v>
      </c>
    </row>
    <row r="50" spans="1:10" x14ac:dyDescent="0.3">
      <c r="A50" t="s">
        <v>186</v>
      </c>
      <c r="B50">
        <v>1</v>
      </c>
      <c r="C50" s="2">
        <v>250</v>
      </c>
      <c r="D50" s="2">
        <f t="shared" si="0"/>
        <v>250</v>
      </c>
      <c r="E50" t="s">
        <v>7</v>
      </c>
      <c r="G50" s="1">
        <v>45538</v>
      </c>
    </row>
    <row r="51" spans="1:10" x14ac:dyDescent="0.3">
      <c r="A51" t="s">
        <v>181</v>
      </c>
      <c r="B51">
        <v>1</v>
      </c>
      <c r="C51" s="2">
        <v>150</v>
      </c>
      <c r="D51" s="2">
        <f t="shared" si="0"/>
        <v>150</v>
      </c>
      <c r="E51" t="s">
        <v>7</v>
      </c>
      <c r="G51" s="1">
        <v>45538</v>
      </c>
    </row>
    <row r="52" spans="1:10" x14ac:dyDescent="0.3">
      <c r="A52" t="s">
        <v>202</v>
      </c>
      <c r="B52">
        <v>1</v>
      </c>
      <c r="C52" s="2">
        <v>150</v>
      </c>
      <c r="D52" s="2">
        <f t="shared" si="0"/>
        <v>150</v>
      </c>
      <c r="E52" t="s">
        <v>7</v>
      </c>
      <c r="G52" s="1">
        <v>45538</v>
      </c>
      <c r="I52">
        <f>SUBTOTAL(9,B40:B876)</f>
        <v>9298.2800000000043</v>
      </c>
    </row>
    <row r="53" spans="1:10" x14ac:dyDescent="0.3">
      <c r="A53" t="s">
        <v>190</v>
      </c>
      <c r="B53">
        <v>1</v>
      </c>
      <c r="C53" s="2">
        <v>150</v>
      </c>
      <c r="D53" s="2">
        <f t="shared" si="0"/>
        <v>150</v>
      </c>
      <c r="E53" t="s">
        <v>7</v>
      </c>
      <c r="G53" s="1">
        <v>45538</v>
      </c>
      <c r="I53">
        <f>SUBTOTAL(9,B38:B1051)</f>
        <v>10103.640000000009</v>
      </c>
    </row>
    <row r="54" spans="1:10" x14ac:dyDescent="0.3">
      <c r="A54" t="s">
        <v>178</v>
      </c>
      <c r="B54">
        <v>1</v>
      </c>
      <c r="C54" s="2">
        <v>180</v>
      </c>
      <c r="D54" s="2">
        <f t="shared" si="0"/>
        <v>180</v>
      </c>
      <c r="E54" t="s">
        <v>7</v>
      </c>
      <c r="G54" s="1">
        <v>45538</v>
      </c>
    </row>
    <row r="55" spans="1:10" x14ac:dyDescent="0.3">
      <c r="A55" t="s">
        <v>172</v>
      </c>
      <c r="B55">
        <v>1</v>
      </c>
      <c r="C55" s="2">
        <v>250</v>
      </c>
      <c r="D55" s="2">
        <f t="shared" si="0"/>
        <v>250</v>
      </c>
      <c r="E55" t="s">
        <v>7</v>
      </c>
      <c r="G55" s="1">
        <v>45538</v>
      </c>
      <c r="J55">
        <f>SUBTOTAL(9,B:B)</f>
        <v>13016.180000000015</v>
      </c>
    </row>
    <row r="56" spans="1:10" x14ac:dyDescent="0.3">
      <c r="A56" t="s">
        <v>186</v>
      </c>
      <c r="B56">
        <v>1</v>
      </c>
      <c r="C56" s="2">
        <v>350</v>
      </c>
      <c r="D56" s="2">
        <f t="shared" si="0"/>
        <v>350</v>
      </c>
      <c r="E56" t="s">
        <v>7</v>
      </c>
      <c r="G56" s="1">
        <v>45538</v>
      </c>
    </row>
    <row r="57" spans="1:10" x14ac:dyDescent="0.3">
      <c r="A57" t="s">
        <v>162</v>
      </c>
      <c r="B57">
        <v>2</v>
      </c>
      <c r="C57" s="2">
        <v>20</v>
      </c>
      <c r="D57" s="2">
        <f t="shared" si="0"/>
        <v>40</v>
      </c>
      <c r="E57" t="s">
        <v>7</v>
      </c>
      <c r="G57" s="1">
        <v>45539</v>
      </c>
      <c r="I57">
        <f>SUBTOTAL(9,B7:B210)</f>
        <v>858.1500000000002</v>
      </c>
    </row>
    <row r="58" spans="1:10" x14ac:dyDescent="0.3">
      <c r="A58" t="s">
        <v>233</v>
      </c>
      <c r="B58">
        <v>4</v>
      </c>
      <c r="C58" s="2">
        <v>300</v>
      </c>
      <c r="D58" s="2">
        <f t="shared" si="0"/>
        <v>1200</v>
      </c>
      <c r="E58" t="s">
        <v>7</v>
      </c>
      <c r="G58" s="1">
        <v>45539</v>
      </c>
    </row>
    <row r="59" spans="1:10" x14ac:dyDescent="0.3">
      <c r="A59" t="s">
        <v>172</v>
      </c>
      <c r="B59">
        <v>1</v>
      </c>
      <c r="C59" s="2">
        <v>200</v>
      </c>
      <c r="D59" s="2">
        <f t="shared" si="0"/>
        <v>200</v>
      </c>
      <c r="E59" t="s">
        <v>7</v>
      </c>
      <c r="G59" s="1">
        <v>45539</v>
      </c>
    </row>
    <row r="60" spans="1:10" x14ac:dyDescent="0.3">
      <c r="A60" t="s">
        <v>182</v>
      </c>
      <c r="B60">
        <v>1</v>
      </c>
      <c r="C60" s="2">
        <v>200</v>
      </c>
      <c r="D60" s="2">
        <f t="shared" si="0"/>
        <v>200</v>
      </c>
      <c r="E60" t="s">
        <v>7</v>
      </c>
      <c r="G60" s="1">
        <v>45539</v>
      </c>
    </row>
    <row r="61" spans="1:10" x14ac:dyDescent="0.3">
      <c r="A61" t="s">
        <v>190</v>
      </c>
      <c r="B61">
        <v>1</v>
      </c>
      <c r="C61" s="2">
        <v>100</v>
      </c>
      <c r="D61" s="2">
        <f t="shared" si="0"/>
        <v>100</v>
      </c>
      <c r="E61" t="s">
        <v>7</v>
      </c>
      <c r="G61" s="1">
        <v>45539</v>
      </c>
    </row>
    <row r="62" spans="1:10" x14ac:dyDescent="0.3">
      <c r="A62" t="s">
        <v>181</v>
      </c>
      <c r="B62">
        <v>1</v>
      </c>
      <c r="C62" s="2">
        <v>150</v>
      </c>
      <c r="D62" s="2">
        <f t="shared" si="0"/>
        <v>150</v>
      </c>
      <c r="E62" t="s">
        <v>7</v>
      </c>
      <c r="F62" t="s">
        <v>17</v>
      </c>
      <c r="G62" s="1">
        <v>45539</v>
      </c>
    </row>
    <row r="63" spans="1:10" x14ac:dyDescent="0.3">
      <c r="A63" t="s">
        <v>172</v>
      </c>
      <c r="B63">
        <v>1</v>
      </c>
      <c r="C63" s="2">
        <v>180</v>
      </c>
      <c r="D63" s="2">
        <f t="shared" si="0"/>
        <v>180</v>
      </c>
      <c r="E63" t="s">
        <v>7</v>
      </c>
      <c r="G63" s="1">
        <v>45539</v>
      </c>
    </row>
    <row r="64" spans="1:10" x14ac:dyDescent="0.3">
      <c r="A64" t="s">
        <v>215</v>
      </c>
      <c r="B64">
        <v>1</v>
      </c>
      <c r="C64" s="2">
        <v>70</v>
      </c>
      <c r="D64" s="2">
        <f t="shared" si="0"/>
        <v>70</v>
      </c>
      <c r="E64" t="s">
        <v>7</v>
      </c>
      <c r="G64" s="1">
        <v>45539</v>
      </c>
    </row>
    <row r="65" spans="1:9" x14ac:dyDescent="0.3">
      <c r="A65" t="s">
        <v>202</v>
      </c>
      <c r="B65">
        <v>1</v>
      </c>
      <c r="C65" s="2">
        <v>100</v>
      </c>
      <c r="D65" s="2">
        <f t="shared" si="0"/>
        <v>100</v>
      </c>
      <c r="E65" t="s">
        <v>7</v>
      </c>
      <c r="G65" s="1">
        <v>45540</v>
      </c>
    </row>
    <row r="66" spans="1:9" x14ac:dyDescent="0.3">
      <c r="A66" t="s">
        <v>178</v>
      </c>
      <c r="B66">
        <v>1</v>
      </c>
      <c r="C66" s="2">
        <v>120</v>
      </c>
      <c r="D66" s="2">
        <f t="shared" si="0"/>
        <v>120</v>
      </c>
      <c r="E66" t="s">
        <v>7</v>
      </c>
      <c r="G66" s="1">
        <v>45540</v>
      </c>
    </row>
    <row r="67" spans="1:9" x14ac:dyDescent="0.3">
      <c r="A67" t="s">
        <v>190</v>
      </c>
      <c r="B67">
        <v>1</v>
      </c>
      <c r="C67" s="2">
        <v>100</v>
      </c>
      <c r="D67" s="2">
        <f t="shared" ref="D67:D130" si="1">B67*C67</f>
        <v>100</v>
      </c>
      <c r="E67" t="s">
        <v>7</v>
      </c>
      <c r="G67" s="1">
        <v>45540</v>
      </c>
    </row>
    <row r="68" spans="1:9" x14ac:dyDescent="0.3">
      <c r="A68" t="s">
        <v>181</v>
      </c>
      <c r="B68">
        <v>1</v>
      </c>
      <c r="C68" s="2">
        <v>100</v>
      </c>
      <c r="D68" s="2">
        <f t="shared" si="1"/>
        <v>100</v>
      </c>
      <c r="E68" t="s">
        <v>7</v>
      </c>
      <c r="G68" s="1">
        <v>45540</v>
      </c>
    </row>
    <row r="69" spans="1:9" x14ac:dyDescent="0.3">
      <c r="A69" t="s">
        <v>186</v>
      </c>
      <c r="B69">
        <v>1</v>
      </c>
      <c r="C69" s="2">
        <v>350</v>
      </c>
      <c r="D69" s="2">
        <f t="shared" si="1"/>
        <v>350</v>
      </c>
      <c r="E69" t="s">
        <v>7</v>
      </c>
      <c r="G69" s="1">
        <v>45540</v>
      </c>
    </row>
    <row r="70" spans="1:9" x14ac:dyDescent="0.3">
      <c r="A70" t="s">
        <v>202</v>
      </c>
      <c r="B70">
        <v>1</v>
      </c>
      <c r="C70" s="2">
        <v>100</v>
      </c>
      <c r="D70" s="2">
        <f t="shared" si="1"/>
        <v>100</v>
      </c>
      <c r="E70" t="s">
        <v>7</v>
      </c>
      <c r="G70" s="1">
        <v>45540</v>
      </c>
    </row>
    <row r="71" spans="1:9" x14ac:dyDescent="0.3">
      <c r="A71" t="s">
        <v>190</v>
      </c>
      <c r="B71">
        <v>1</v>
      </c>
      <c r="C71" s="2">
        <v>100</v>
      </c>
      <c r="D71" s="2">
        <f t="shared" si="1"/>
        <v>100</v>
      </c>
      <c r="E71" t="s">
        <v>7</v>
      </c>
      <c r="G71" s="1">
        <v>45540</v>
      </c>
    </row>
    <row r="72" spans="1:9" x14ac:dyDescent="0.3">
      <c r="A72" t="s">
        <v>171</v>
      </c>
      <c r="B72">
        <v>1</v>
      </c>
      <c r="C72" s="2">
        <v>150</v>
      </c>
      <c r="D72" s="2">
        <f t="shared" si="1"/>
        <v>150</v>
      </c>
      <c r="E72" t="s">
        <v>7</v>
      </c>
      <c r="G72" s="1">
        <v>45540</v>
      </c>
    </row>
    <row r="73" spans="1:9" x14ac:dyDescent="0.3">
      <c r="A73" t="s">
        <v>233</v>
      </c>
      <c r="B73">
        <v>1</v>
      </c>
      <c r="C73" s="2">
        <v>150</v>
      </c>
      <c r="D73" s="2">
        <f t="shared" si="1"/>
        <v>150</v>
      </c>
      <c r="E73" t="s">
        <v>7</v>
      </c>
      <c r="G73" s="1">
        <v>45540</v>
      </c>
      <c r="I73">
        <f>SUBTOTAL(9,B58:B1430)</f>
        <v>12529.330000000014</v>
      </c>
    </row>
    <row r="74" spans="1:9" x14ac:dyDescent="0.3">
      <c r="A74" t="s">
        <v>174</v>
      </c>
      <c r="B74">
        <v>0.2</v>
      </c>
      <c r="C74" s="2">
        <v>500</v>
      </c>
      <c r="D74" s="2">
        <f t="shared" si="1"/>
        <v>100</v>
      </c>
      <c r="E74" t="s">
        <v>7</v>
      </c>
      <c r="G74" s="1">
        <v>45540</v>
      </c>
      <c r="I74">
        <f>SUBTOTAL(9,B16:B1400)</f>
        <v>12934.330000000014</v>
      </c>
    </row>
    <row r="75" spans="1:9" x14ac:dyDescent="0.3">
      <c r="A75" t="s">
        <v>176</v>
      </c>
      <c r="B75">
        <v>0.1</v>
      </c>
      <c r="C75" s="2">
        <v>450</v>
      </c>
      <c r="D75" s="2">
        <f t="shared" si="1"/>
        <v>45</v>
      </c>
      <c r="E75" t="s">
        <v>7</v>
      </c>
      <c r="G75" s="1">
        <v>45540</v>
      </c>
      <c r="I75">
        <f>SUBTOTAL(9,B17:B1354)</f>
        <v>11744.030000000013</v>
      </c>
    </row>
    <row r="76" spans="1:9" x14ac:dyDescent="0.3">
      <c r="A76" t="s">
        <v>225</v>
      </c>
      <c r="B76">
        <v>1</v>
      </c>
      <c r="C76" s="2">
        <v>40</v>
      </c>
      <c r="D76" s="2">
        <f t="shared" si="1"/>
        <v>40</v>
      </c>
      <c r="E76" t="s">
        <v>7</v>
      </c>
      <c r="G76" s="1">
        <v>45540</v>
      </c>
    </row>
    <row r="77" spans="1:9" x14ac:dyDescent="0.3">
      <c r="A77" t="s">
        <v>162</v>
      </c>
      <c r="B77">
        <v>1</v>
      </c>
      <c r="C77" s="2">
        <v>20</v>
      </c>
      <c r="D77" s="2">
        <f t="shared" si="1"/>
        <v>20</v>
      </c>
      <c r="E77" t="s">
        <v>7</v>
      </c>
      <c r="G77" s="1">
        <v>45540</v>
      </c>
    </row>
    <row r="78" spans="1:9" x14ac:dyDescent="0.3">
      <c r="A78" t="s">
        <v>190</v>
      </c>
      <c r="B78">
        <v>1</v>
      </c>
      <c r="C78" s="2">
        <v>100</v>
      </c>
      <c r="D78" s="2">
        <f t="shared" si="1"/>
        <v>100</v>
      </c>
      <c r="E78" t="s">
        <v>7</v>
      </c>
      <c r="G78" s="1">
        <v>45540</v>
      </c>
    </row>
    <row r="79" spans="1:9" x14ac:dyDescent="0.3">
      <c r="A79" t="s">
        <v>178</v>
      </c>
      <c r="B79">
        <v>1</v>
      </c>
      <c r="C79" s="2">
        <v>150</v>
      </c>
      <c r="D79" s="2">
        <f t="shared" si="1"/>
        <v>150</v>
      </c>
      <c r="E79" t="s">
        <v>7</v>
      </c>
      <c r="G79" s="1">
        <v>45540</v>
      </c>
    </row>
    <row r="80" spans="1:9" x14ac:dyDescent="0.3">
      <c r="A80" t="s">
        <v>178</v>
      </c>
      <c r="B80">
        <v>1</v>
      </c>
      <c r="C80" s="2">
        <v>75</v>
      </c>
      <c r="D80" s="2">
        <f t="shared" si="1"/>
        <v>75</v>
      </c>
      <c r="E80" t="s">
        <v>7</v>
      </c>
      <c r="G80" s="1">
        <v>45542</v>
      </c>
    </row>
    <row r="81" spans="1:9" x14ac:dyDescent="0.3">
      <c r="A81" t="s">
        <v>181</v>
      </c>
      <c r="B81">
        <v>1</v>
      </c>
      <c r="C81" s="2">
        <v>75</v>
      </c>
      <c r="D81" s="2">
        <f t="shared" si="1"/>
        <v>75</v>
      </c>
      <c r="E81" t="s">
        <v>7</v>
      </c>
      <c r="G81" s="1">
        <v>45542</v>
      </c>
    </row>
    <row r="82" spans="1:9" x14ac:dyDescent="0.3">
      <c r="A82" t="s">
        <v>215</v>
      </c>
      <c r="B82">
        <v>1</v>
      </c>
      <c r="C82" s="2">
        <v>80</v>
      </c>
      <c r="D82" s="2">
        <f t="shared" si="1"/>
        <v>80</v>
      </c>
      <c r="E82" t="s">
        <v>7</v>
      </c>
      <c r="G82" s="1">
        <v>45542</v>
      </c>
    </row>
    <row r="83" spans="1:9" x14ac:dyDescent="0.3">
      <c r="A83" t="s">
        <v>174</v>
      </c>
      <c r="B83">
        <v>0.25</v>
      </c>
      <c r="C83" s="2">
        <v>400</v>
      </c>
      <c r="D83" s="2">
        <f t="shared" si="1"/>
        <v>100</v>
      </c>
      <c r="E83" t="s">
        <v>7</v>
      </c>
      <c r="G83" s="1">
        <v>45542</v>
      </c>
    </row>
    <row r="84" spans="1:9" x14ac:dyDescent="0.3">
      <c r="A84" t="s">
        <v>176</v>
      </c>
      <c r="B84">
        <v>0.2</v>
      </c>
      <c r="C84" s="2">
        <v>300</v>
      </c>
      <c r="D84" s="2">
        <f t="shared" si="1"/>
        <v>60</v>
      </c>
      <c r="E84" t="s">
        <v>7</v>
      </c>
      <c r="G84" s="1">
        <v>45542</v>
      </c>
    </row>
    <row r="85" spans="1:9" x14ac:dyDescent="0.3">
      <c r="A85" t="s">
        <v>41</v>
      </c>
      <c r="B85">
        <v>2</v>
      </c>
      <c r="C85" s="2">
        <v>40</v>
      </c>
      <c r="D85" s="2">
        <f t="shared" si="1"/>
        <v>80</v>
      </c>
      <c r="E85" t="s">
        <v>7</v>
      </c>
      <c r="G85" s="1">
        <v>45542</v>
      </c>
    </row>
    <row r="86" spans="1:9" x14ac:dyDescent="0.3">
      <c r="A86" t="s">
        <v>14</v>
      </c>
      <c r="B86">
        <v>10</v>
      </c>
      <c r="C86" s="2">
        <v>15</v>
      </c>
      <c r="D86" s="2">
        <f t="shared" si="1"/>
        <v>150</v>
      </c>
      <c r="E86" t="s">
        <v>7</v>
      </c>
      <c r="G86" s="1">
        <v>45543</v>
      </c>
    </row>
    <row r="87" spans="1:9" x14ac:dyDescent="0.3">
      <c r="A87" t="s">
        <v>171</v>
      </c>
      <c r="B87">
        <v>1</v>
      </c>
      <c r="C87" s="2">
        <v>110</v>
      </c>
      <c r="D87" s="2">
        <f t="shared" si="1"/>
        <v>110</v>
      </c>
      <c r="E87" t="s">
        <v>7</v>
      </c>
      <c r="G87" s="1">
        <v>45543</v>
      </c>
    </row>
    <row r="88" spans="1:9" x14ac:dyDescent="0.3">
      <c r="A88" t="s">
        <v>188</v>
      </c>
      <c r="B88">
        <v>1</v>
      </c>
      <c r="C88" s="2">
        <v>50</v>
      </c>
      <c r="D88" s="2">
        <f t="shared" si="1"/>
        <v>50</v>
      </c>
      <c r="E88" t="s">
        <v>7</v>
      </c>
      <c r="G88" s="1">
        <v>45543</v>
      </c>
    </row>
    <row r="89" spans="1:9" x14ac:dyDescent="0.3">
      <c r="A89" t="s">
        <v>190</v>
      </c>
      <c r="B89">
        <v>1</v>
      </c>
      <c r="C89" s="2">
        <v>100</v>
      </c>
      <c r="D89" s="2">
        <f t="shared" si="1"/>
        <v>100</v>
      </c>
      <c r="E89" t="s">
        <v>7</v>
      </c>
      <c r="G89" s="1">
        <v>45543</v>
      </c>
    </row>
    <row r="90" spans="1:9" x14ac:dyDescent="0.3">
      <c r="A90" t="s">
        <v>202</v>
      </c>
      <c r="B90">
        <v>2</v>
      </c>
      <c r="C90" s="2">
        <v>100</v>
      </c>
      <c r="D90" s="2">
        <f t="shared" si="1"/>
        <v>200</v>
      </c>
      <c r="E90" t="s">
        <v>7</v>
      </c>
      <c r="G90" s="1">
        <v>45543</v>
      </c>
    </row>
    <row r="91" spans="1:9" x14ac:dyDescent="0.3">
      <c r="A91" t="s">
        <v>188</v>
      </c>
      <c r="B91">
        <v>1</v>
      </c>
      <c r="C91" s="2">
        <v>50</v>
      </c>
      <c r="D91" s="2">
        <f t="shared" si="1"/>
        <v>50</v>
      </c>
      <c r="E91" t="s">
        <v>7</v>
      </c>
      <c r="G91" s="1">
        <v>45543</v>
      </c>
      <c r="I91">
        <f>SUBTOTAL(9,B88:B192)</f>
        <v>336.2</v>
      </c>
    </row>
    <row r="92" spans="1:9" x14ac:dyDescent="0.3">
      <c r="A92" t="s">
        <v>173</v>
      </c>
      <c r="B92">
        <v>1</v>
      </c>
      <c r="C92" s="2">
        <v>100</v>
      </c>
      <c r="D92" s="2">
        <f t="shared" si="1"/>
        <v>100</v>
      </c>
      <c r="E92" t="s">
        <v>7</v>
      </c>
      <c r="G92" s="1">
        <v>45543</v>
      </c>
    </row>
    <row r="93" spans="1:9" x14ac:dyDescent="0.3">
      <c r="A93" t="s">
        <v>173</v>
      </c>
      <c r="B93">
        <v>3</v>
      </c>
      <c r="C93" s="2">
        <v>130</v>
      </c>
      <c r="D93" s="2">
        <f t="shared" si="1"/>
        <v>390</v>
      </c>
      <c r="E93" t="s">
        <v>7</v>
      </c>
      <c r="G93" s="1">
        <v>45543</v>
      </c>
      <c r="I93">
        <f>SUBTOTAL(9,B92:B1411)</f>
        <v>12459.580000000014</v>
      </c>
    </row>
    <row r="94" spans="1:9" x14ac:dyDescent="0.3">
      <c r="A94" t="s">
        <v>14</v>
      </c>
      <c r="B94">
        <v>2</v>
      </c>
      <c r="C94" s="2">
        <v>15</v>
      </c>
      <c r="D94" s="2">
        <f t="shared" si="1"/>
        <v>30</v>
      </c>
      <c r="E94" t="s">
        <v>7</v>
      </c>
      <c r="G94" s="1">
        <v>45543</v>
      </c>
    </row>
    <row r="95" spans="1:9" x14ac:dyDescent="0.3">
      <c r="A95" t="s">
        <v>178</v>
      </c>
      <c r="B95">
        <v>1</v>
      </c>
      <c r="C95" s="2">
        <v>110</v>
      </c>
      <c r="D95" s="2">
        <f t="shared" si="1"/>
        <v>110</v>
      </c>
      <c r="E95" t="s">
        <v>7</v>
      </c>
      <c r="G95" s="1">
        <v>45544</v>
      </c>
    </row>
    <row r="96" spans="1:9" x14ac:dyDescent="0.3">
      <c r="A96" t="s">
        <v>188</v>
      </c>
      <c r="B96">
        <v>2</v>
      </c>
      <c r="C96" s="2">
        <v>70</v>
      </c>
      <c r="D96" s="2">
        <f t="shared" si="1"/>
        <v>140</v>
      </c>
      <c r="E96" t="s">
        <v>7</v>
      </c>
      <c r="G96" s="1">
        <v>45544</v>
      </c>
    </row>
    <row r="97" spans="1:7" x14ac:dyDescent="0.3">
      <c r="A97" t="s">
        <v>215</v>
      </c>
      <c r="B97">
        <v>2</v>
      </c>
      <c r="C97" s="2">
        <v>50</v>
      </c>
      <c r="D97" s="2">
        <f t="shared" si="1"/>
        <v>100</v>
      </c>
      <c r="E97" t="s">
        <v>7</v>
      </c>
      <c r="G97" s="1">
        <v>45544</v>
      </c>
    </row>
    <row r="98" spans="1:7" x14ac:dyDescent="0.3">
      <c r="A98" t="s">
        <v>14</v>
      </c>
      <c r="B98">
        <v>2</v>
      </c>
      <c r="C98" s="2">
        <v>15</v>
      </c>
      <c r="D98" s="2">
        <f t="shared" si="1"/>
        <v>30</v>
      </c>
      <c r="E98" t="s">
        <v>7</v>
      </c>
      <c r="G98" s="1">
        <v>45545</v>
      </c>
    </row>
    <row r="99" spans="1:7" x14ac:dyDescent="0.3">
      <c r="A99" t="s">
        <v>181</v>
      </c>
      <c r="B99">
        <v>1</v>
      </c>
      <c r="C99" s="2">
        <v>70</v>
      </c>
      <c r="D99" s="2">
        <f t="shared" si="1"/>
        <v>70</v>
      </c>
      <c r="E99" t="s">
        <v>7</v>
      </c>
      <c r="G99" s="1">
        <v>45545</v>
      </c>
    </row>
    <row r="100" spans="1:7" x14ac:dyDescent="0.3">
      <c r="A100" t="s">
        <v>44</v>
      </c>
      <c r="B100">
        <v>3</v>
      </c>
      <c r="C100" s="2">
        <v>80</v>
      </c>
      <c r="D100" s="2">
        <f t="shared" si="1"/>
        <v>240</v>
      </c>
      <c r="E100" t="s">
        <v>7</v>
      </c>
      <c r="G100" s="1">
        <v>45545</v>
      </c>
    </row>
    <row r="101" spans="1:7" x14ac:dyDescent="0.3">
      <c r="A101" t="s">
        <v>233</v>
      </c>
      <c r="B101">
        <v>1</v>
      </c>
      <c r="C101" s="2">
        <v>250</v>
      </c>
      <c r="D101" s="2">
        <f t="shared" si="1"/>
        <v>250</v>
      </c>
      <c r="E101" t="s">
        <v>7</v>
      </c>
      <c r="G101" s="1">
        <v>45545</v>
      </c>
    </row>
    <row r="102" spans="1:7" x14ac:dyDescent="0.3">
      <c r="A102" t="s">
        <v>44</v>
      </c>
      <c r="B102">
        <v>1</v>
      </c>
      <c r="C102" s="2">
        <v>80</v>
      </c>
      <c r="D102" s="2">
        <f t="shared" si="1"/>
        <v>80</v>
      </c>
      <c r="E102" t="s">
        <v>7</v>
      </c>
      <c r="G102" s="1">
        <v>45546</v>
      </c>
    </row>
    <row r="103" spans="1:7" x14ac:dyDescent="0.3">
      <c r="A103" t="s">
        <v>182</v>
      </c>
      <c r="B103">
        <v>1</v>
      </c>
      <c r="C103" s="2">
        <v>160</v>
      </c>
      <c r="D103" s="2">
        <f t="shared" si="1"/>
        <v>160</v>
      </c>
      <c r="E103" t="s">
        <v>7</v>
      </c>
      <c r="G103" s="1">
        <v>45546</v>
      </c>
    </row>
    <row r="104" spans="1:7" x14ac:dyDescent="0.3">
      <c r="A104" t="s">
        <v>174</v>
      </c>
      <c r="B104">
        <v>0.2</v>
      </c>
      <c r="C104" s="2">
        <v>500</v>
      </c>
      <c r="D104" s="2">
        <f t="shared" si="1"/>
        <v>100</v>
      </c>
      <c r="E104" t="s">
        <v>7</v>
      </c>
      <c r="G104" s="1">
        <v>45546</v>
      </c>
    </row>
    <row r="105" spans="1:7" x14ac:dyDescent="0.3">
      <c r="A105" t="s">
        <v>176</v>
      </c>
      <c r="B105">
        <v>0.2</v>
      </c>
      <c r="C105" s="2">
        <v>500</v>
      </c>
      <c r="D105" s="2">
        <f t="shared" si="1"/>
        <v>100</v>
      </c>
      <c r="E105" t="s">
        <v>7</v>
      </c>
      <c r="G105" s="1">
        <v>45546</v>
      </c>
    </row>
    <row r="106" spans="1:7" x14ac:dyDescent="0.3">
      <c r="A106" t="s">
        <v>182</v>
      </c>
      <c r="B106">
        <v>1</v>
      </c>
      <c r="C106" s="2">
        <v>180</v>
      </c>
      <c r="D106" s="2">
        <f t="shared" si="1"/>
        <v>180</v>
      </c>
      <c r="E106" t="s">
        <v>7</v>
      </c>
      <c r="G106" s="1">
        <v>45546</v>
      </c>
    </row>
    <row r="107" spans="1:7" x14ac:dyDescent="0.3">
      <c r="A107" t="s">
        <v>13</v>
      </c>
      <c r="B107">
        <v>1</v>
      </c>
      <c r="C107" s="2">
        <v>170</v>
      </c>
      <c r="D107" s="2">
        <f t="shared" si="1"/>
        <v>170</v>
      </c>
      <c r="E107" t="s">
        <v>7</v>
      </c>
      <c r="G107" s="1">
        <v>45546</v>
      </c>
    </row>
    <row r="108" spans="1:7" x14ac:dyDescent="0.3">
      <c r="A108" t="s">
        <v>178</v>
      </c>
      <c r="B108">
        <v>1</v>
      </c>
      <c r="C108" s="2">
        <v>200</v>
      </c>
      <c r="D108" s="2">
        <f t="shared" si="1"/>
        <v>200</v>
      </c>
      <c r="E108" t="s">
        <v>7</v>
      </c>
      <c r="G108" s="1">
        <v>45546</v>
      </c>
    </row>
    <row r="109" spans="1:7" x14ac:dyDescent="0.3">
      <c r="A109" t="s">
        <v>233</v>
      </c>
      <c r="B109">
        <v>2</v>
      </c>
      <c r="C109" s="2">
        <v>250</v>
      </c>
      <c r="D109" s="2">
        <f t="shared" si="1"/>
        <v>500</v>
      </c>
      <c r="E109" t="s">
        <v>7</v>
      </c>
      <c r="G109" s="1">
        <v>45547</v>
      </c>
    </row>
    <row r="110" spans="1:7" x14ac:dyDescent="0.3">
      <c r="A110" t="s">
        <v>181</v>
      </c>
      <c r="B110">
        <v>1</v>
      </c>
      <c r="C110" s="2">
        <v>50</v>
      </c>
      <c r="D110" s="2">
        <f t="shared" si="1"/>
        <v>50</v>
      </c>
      <c r="E110" t="s">
        <v>7</v>
      </c>
      <c r="G110" s="1">
        <v>45547</v>
      </c>
    </row>
    <row r="111" spans="1:7" x14ac:dyDescent="0.3">
      <c r="A111" t="s">
        <v>190</v>
      </c>
      <c r="B111">
        <v>1</v>
      </c>
      <c r="C111" s="2">
        <v>100</v>
      </c>
      <c r="D111" s="2">
        <f t="shared" si="1"/>
        <v>100</v>
      </c>
      <c r="E111" t="s">
        <v>7</v>
      </c>
      <c r="G111" s="1">
        <v>45547</v>
      </c>
    </row>
    <row r="112" spans="1:7" x14ac:dyDescent="0.3">
      <c r="A112" t="s">
        <v>202</v>
      </c>
      <c r="B112">
        <v>1</v>
      </c>
      <c r="C112" s="2">
        <v>100</v>
      </c>
      <c r="D112" s="2">
        <f t="shared" si="1"/>
        <v>100</v>
      </c>
      <c r="E112" t="s">
        <v>7</v>
      </c>
      <c r="G112" s="1">
        <v>45547</v>
      </c>
    </row>
    <row r="113" spans="1:9" x14ac:dyDescent="0.3">
      <c r="A113" t="s">
        <v>162</v>
      </c>
      <c r="B113">
        <v>1</v>
      </c>
      <c r="C113" s="2">
        <v>15</v>
      </c>
      <c r="D113" s="2">
        <f t="shared" si="1"/>
        <v>15</v>
      </c>
      <c r="E113" t="s">
        <v>7</v>
      </c>
      <c r="G113" s="1">
        <v>45547</v>
      </c>
    </row>
    <row r="114" spans="1:9" x14ac:dyDescent="0.3">
      <c r="A114" t="s">
        <v>44</v>
      </c>
      <c r="B114">
        <v>1</v>
      </c>
      <c r="C114" s="2">
        <v>80</v>
      </c>
      <c r="D114" s="2">
        <f t="shared" si="1"/>
        <v>80</v>
      </c>
      <c r="E114" t="s">
        <v>7</v>
      </c>
      <c r="G114" s="1">
        <v>45547</v>
      </c>
    </row>
    <row r="115" spans="1:9" x14ac:dyDescent="0.3">
      <c r="A115" t="s">
        <v>233</v>
      </c>
      <c r="B115">
        <v>3</v>
      </c>
      <c r="C115" s="2">
        <v>300</v>
      </c>
      <c r="D115" s="2">
        <f t="shared" si="1"/>
        <v>900</v>
      </c>
      <c r="E115" t="s">
        <v>7</v>
      </c>
      <c r="F115" t="s">
        <v>17</v>
      </c>
      <c r="G115" s="1">
        <v>45548</v>
      </c>
    </row>
    <row r="116" spans="1:9" x14ac:dyDescent="0.3">
      <c r="A116" t="s">
        <v>178</v>
      </c>
      <c r="B116">
        <v>1</v>
      </c>
      <c r="C116" s="2">
        <v>120</v>
      </c>
      <c r="D116" s="2">
        <f t="shared" si="1"/>
        <v>120</v>
      </c>
      <c r="E116" t="s">
        <v>7</v>
      </c>
      <c r="G116" s="1">
        <v>45548</v>
      </c>
    </row>
    <row r="117" spans="1:9" x14ac:dyDescent="0.3">
      <c r="A117" t="s">
        <v>182</v>
      </c>
      <c r="B117">
        <v>1</v>
      </c>
      <c r="C117" s="2">
        <v>100</v>
      </c>
      <c r="D117" s="2">
        <f t="shared" si="1"/>
        <v>100</v>
      </c>
      <c r="E117" t="s">
        <v>7</v>
      </c>
      <c r="G117" s="1">
        <v>45549</v>
      </c>
    </row>
    <row r="118" spans="1:9" x14ac:dyDescent="0.3">
      <c r="A118" t="s">
        <v>233</v>
      </c>
      <c r="B118">
        <v>1</v>
      </c>
      <c r="C118" s="2">
        <v>100</v>
      </c>
      <c r="D118" s="2">
        <f t="shared" si="1"/>
        <v>100</v>
      </c>
      <c r="E118" t="s">
        <v>7</v>
      </c>
      <c r="G118" s="1">
        <v>45549</v>
      </c>
    </row>
    <row r="119" spans="1:9" x14ac:dyDescent="0.3">
      <c r="A119" t="s">
        <v>45</v>
      </c>
      <c r="B119">
        <v>4</v>
      </c>
      <c r="C119" s="2">
        <v>100</v>
      </c>
      <c r="D119" s="2">
        <f t="shared" si="1"/>
        <v>400</v>
      </c>
      <c r="E119" t="s">
        <v>7</v>
      </c>
      <c r="G119" s="1">
        <v>45549</v>
      </c>
    </row>
    <row r="120" spans="1:9" x14ac:dyDescent="0.3">
      <c r="A120" t="s">
        <v>41</v>
      </c>
      <c r="B120">
        <v>3</v>
      </c>
      <c r="C120" s="2">
        <v>45</v>
      </c>
      <c r="D120" s="2">
        <f t="shared" si="1"/>
        <v>135</v>
      </c>
      <c r="E120" t="s">
        <v>7</v>
      </c>
      <c r="G120" s="1">
        <v>45549</v>
      </c>
      <c r="I120">
        <f>SUBTOTAL(9,B85:B1124)</f>
        <v>10101.910000000013</v>
      </c>
    </row>
    <row r="121" spans="1:9" x14ac:dyDescent="0.3">
      <c r="A121" t="s">
        <v>182</v>
      </c>
      <c r="B121">
        <v>1</v>
      </c>
      <c r="C121" s="2">
        <v>150</v>
      </c>
      <c r="D121" s="2">
        <f t="shared" si="1"/>
        <v>150</v>
      </c>
      <c r="E121" t="s">
        <v>7</v>
      </c>
      <c r="G121" s="1">
        <v>45549</v>
      </c>
    </row>
    <row r="122" spans="1:9" x14ac:dyDescent="0.3">
      <c r="A122" t="s">
        <v>171</v>
      </c>
      <c r="B122">
        <v>1</v>
      </c>
      <c r="C122" s="2">
        <v>100</v>
      </c>
      <c r="D122" s="2">
        <f t="shared" si="1"/>
        <v>100</v>
      </c>
      <c r="E122" t="s">
        <v>7</v>
      </c>
      <c r="G122" s="1">
        <v>45549</v>
      </c>
    </row>
    <row r="123" spans="1:9" x14ac:dyDescent="0.3">
      <c r="A123" t="s">
        <v>181</v>
      </c>
      <c r="B123">
        <v>1</v>
      </c>
      <c r="C123" s="2">
        <v>50</v>
      </c>
      <c r="D123" s="2">
        <f t="shared" si="1"/>
        <v>50</v>
      </c>
      <c r="E123" t="s">
        <v>7</v>
      </c>
      <c r="G123" s="1">
        <v>45549</v>
      </c>
    </row>
    <row r="124" spans="1:9" x14ac:dyDescent="0.3">
      <c r="A124" t="s">
        <v>178</v>
      </c>
      <c r="B124">
        <v>1</v>
      </c>
      <c r="C124" s="2">
        <v>100</v>
      </c>
      <c r="D124" s="2">
        <f t="shared" si="1"/>
        <v>100</v>
      </c>
      <c r="E124" t="s">
        <v>7</v>
      </c>
      <c r="G124" s="1">
        <v>45549</v>
      </c>
    </row>
    <row r="125" spans="1:9" x14ac:dyDescent="0.3">
      <c r="A125" t="s">
        <v>188</v>
      </c>
      <c r="B125">
        <v>1</v>
      </c>
      <c r="C125" s="2">
        <v>50</v>
      </c>
      <c r="D125" s="2">
        <f t="shared" si="1"/>
        <v>50</v>
      </c>
      <c r="E125" t="s">
        <v>7</v>
      </c>
      <c r="G125" s="1">
        <v>45549</v>
      </c>
    </row>
    <row r="126" spans="1:9" x14ac:dyDescent="0.3">
      <c r="A126" t="s">
        <v>190</v>
      </c>
      <c r="B126">
        <v>1</v>
      </c>
      <c r="C126" s="2">
        <v>100</v>
      </c>
      <c r="D126" s="2">
        <f t="shared" si="1"/>
        <v>100</v>
      </c>
      <c r="E126" t="s">
        <v>7</v>
      </c>
      <c r="G126" s="1">
        <v>45549</v>
      </c>
    </row>
    <row r="127" spans="1:9" x14ac:dyDescent="0.3">
      <c r="A127" t="s">
        <v>162</v>
      </c>
      <c r="B127">
        <v>2</v>
      </c>
      <c r="C127" s="2">
        <v>15</v>
      </c>
      <c r="D127" s="2">
        <f t="shared" si="1"/>
        <v>30</v>
      </c>
      <c r="E127" t="s">
        <v>7</v>
      </c>
      <c r="G127" s="1">
        <v>45549</v>
      </c>
    </row>
    <row r="128" spans="1:9" x14ac:dyDescent="0.3">
      <c r="A128" t="s">
        <v>188</v>
      </c>
      <c r="B128">
        <v>1</v>
      </c>
      <c r="C128" s="2">
        <v>70</v>
      </c>
      <c r="D128" s="2">
        <f t="shared" si="1"/>
        <v>70</v>
      </c>
      <c r="E128" t="s">
        <v>7</v>
      </c>
      <c r="G128" s="1">
        <v>45550</v>
      </c>
    </row>
    <row r="129" spans="1:7" x14ac:dyDescent="0.3">
      <c r="A129" t="s">
        <v>162</v>
      </c>
      <c r="B129">
        <v>1</v>
      </c>
      <c r="C129" s="2">
        <v>15</v>
      </c>
      <c r="D129" s="2">
        <f t="shared" si="1"/>
        <v>15</v>
      </c>
      <c r="E129" t="s">
        <v>7</v>
      </c>
      <c r="G129" s="1">
        <v>45550</v>
      </c>
    </row>
    <row r="130" spans="1:7" x14ac:dyDescent="0.3">
      <c r="A130" t="s">
        <v>173</v>
      </c>
      <c r="B130">
        <v>1</v>
      </c>
      <c r="C130" s="2">
        <v>100</v>
      </c>
      <c r="D130" s="2">
        <f t="shared" si="1"/>
        <v>100</v>
      </c>
      <c r="E130" t="s">
        <v>7</v>
      </c>
      <c r="G130" s="1">
        <v>45551</v>
      </c>
    </row>
    <row r="131" spans="1:7" x14ac:dyDescent="0.3">
      <c r="A131" t="s">
        <v>188</v>
      </c>
      <c r="B131">
        <v>1</v>
      </c>
      <c r="C131" s="2">
        <v>100</v>
      </c>
      <c r="D131" s="2">
        <f t="shared" ref="D131:D194" si="2">B131*C131</f>
        <v>100</v>
      </c>
      <c r="E131" t="s">
        <v>7</v>
      </c>
      <c r="G131" s="1">
        <v>45551</v>
      </c>
    </row>
    <row r="132" spans="1:7" x14ac:dyDescent="0.3">
      <c r="A132" t="s">
        <v>203</v>
      </c>
      <c r="B132">
        <v>20</v>
      </c>
      <c r="C132" s="2">
        <v>250</v>
      </c>
      <c r="D132" s="2">
        <f t="shared" si="2"/>
        <v>5000</v>
      </c>
      <c r="E132" t="s">
        <v>142</v>
      </c>
      <c r="F132" t="s">
        <v>17</v>
      </c>
      <c r="G132" s="1">
        <v>45551</v>
      </c>
    </row>
    <row r="133" spans="1:7" x14ac:dyDescent="0.3">
      <c r="A133" t="s">
        <v>181</v>
      </c>
      <c r="B133">
        <v>30</v>
      </c>
      <c r="C133" s="2">
        <v>70</v>
      </c>
      <c r="D133" s="2">
        <f t="shared" si="2"/>
        <v>2100</v>
      </c>
      <c r="E133" t="s">
        <v>142</v>
      </c>
      <c r="F133" t="s">
        <v>17</v>
      </c>
      <c r="G133" s="1">
        <v>45551</v>
      </c>
    </row>
    <row r="134" spans="1:7" x14ac:dyDescent="0.3">
      <c r="A134" t="s">
        <v>201</v>
      </c>
      <c r="B134">
        <v>1</v>
      </c>
      <c r="C134" s="2">
        <v>350</v>
      </c>
      <c r="D134" s="2">
        <f t="shared" si="2"/>
        <v>350</v>
      </c>
      <c r="E134" t="s">
        <v>7</v>
      </c>
      <c r="G134" s="1">
        <v>45552</v>
      </c>
    </row>
    <row r="135" spans="1:7" x14ac:dyDescent="0.3">
      <c r="A135" t="s">
        <v>182</v>
      </c>
      <c r="B135">
        <v>1</v>
      </c>
      <c r="C135" s="2">
        <v>150</v>
      </c>
      <c r="D135" s="2">
        <f t="shared" si="2"/>
        <v>150</v>
      </c>
      <c r="E135" t="s">
        <v>7</v>
      </c>
      <c r="G135" s="1">
        <v>45552</v>
      </c>
    </row>
    <row r="136" spans="1:7" x14ac:dyDescent="0.3">
      <c r="A136" t="s">
        <v>192</v>
      </c>
      <c r="B136">
        <v>1</v>
      </c>
      <c r="C136" s="2">
        <v>250</v>
      </c>
      <c r="D136" s="2">
        <f t="shared" si="2"/>
        <v>250</v>
      </c>
      <c r="E136" t="s">
        <v>7</v>
      </c>
      <c r="G136" s="1">
        <v>45552</v>
      </c>
    </row>
    <row r="137" spans="1:7" x14ac:dyDescent="0.3">
      <c r="A137" t="s">
        <v>188</v>
      </c>
      <c r="B137">
        <v>1</v>
      </c>
      <c r="C137" s="2">
        <v>100</v>
      </c>
      <c r="D137" s="2">
        <f t="shared" si="2"/>
        <v>100</v>
      </c>
      <c r="E137" t="s">
        <v>7</v>
      </c>
      <c r="G137" s="1">
        <v>45552</v>
      </c>
    </row>
    <row r="138" spans="1:7" x14ac:dyDescent="0.3">
      <c r="A138" t="s">
        <v>190</v>
      </c>
      <c r="B138">
        <v>1</v>
      </c>
      <c r="C138" s="2">
        <v>100</v>
      </c>
      <c r="D138" s="2">
        <f t="shared" si="2"/>
        <v>100</v>
      </c>
      <c r="E138" t="s">
        <v>7</v>
      </c>
      <c r="G138" s="1">
        <v>45552</v>
      </c>
    </row>
    <row r="139" spans="1:7" x14ac:dyDescent="0.3">
      <c r="A139" t="s">
        <v>48</v>
      </c>
      <c r="B139">
        <v>1</v>
      </c>
      <c r="C139" s="2">
        <v>350</v>
      </c>
      <c r="D139" s="2">
        <f t="shared" si="2"/>
        <v>350</v>
      </c>
      <c r="E139" t="s">
        <v>7</v>
      </c>
      <c r="G139" s="1">
        <v>45552</v>
      </c>
    </row>
    <row r="140" spans="1:7" x14ac:dyDescent="0.3">
      <c r="A140" t="s">
        <v>182</v>
      </c>
      <c r="B140">
        <v>1</v>
      </c>
      <c r="C140" s="2">
        <v>200</v>
      </c>
      <c r="D140" s="2">
        <f t="shared" si="2"/>
        <v>200</v>
      </c>
      <c r="E140" t="s">
        <v>7</v>
      </c>
      <c r="G140" s="1">
        <v>45553</v>
      </c>
    </row>
    <row r="141" spans="1:7" x14ac:dyDescent="0.3">
      <c r="A141" t="s">
        <v>188</v>
      </c>
      <c r="B141">
        <v>1</v>
      </c>
      <c r="C141" s="2">
        <v>50</v>
      </c>
      <c r="D141" s="2">
        <f t="shared" si="2"/>
        <v>50</v>
      </c>
      <c r="E141" t="s">
        <v>7</v>
      </c>
      <c r="G141" s="1">
        <v>45553</v>
      </c>
    </row>
    <row r="142" spans="1:7" x14ac:dyDescent="0.3">
      <c r="A142" t="s">
        <v>190</v>
      </c>
      <c r="B142">
        <v>1</v>
      </c>
      <c r="C142" s="2">
        <v>100</v>
      </c>
      <c r="D142" s="2">
        <f t="shared" si="2"/>
        <v>100</v>
      </c>
      <c r="E142" t="s">
        <v>7</v>
      </c>
      <c r="G142" s="1">
        <v>45553</v>
      </c>
    </row>
    <row r="143" spans="1:7" x14ac:dyDescent="0.3">
      <c r="A143" t="s">
        <v>178</v>
      </c>
      <c r="B143">
        <v>1</v>
      </c>
      <c r="C143" s="2">
        <v>100</v>
      </c>
      <c r="D143" s="2">
        <f t="shared" si="2"/>
        <v>100</v>
      </c>
      <c r="E143" t="s">
        <v>7</v>
      </c>
      <c r="G143" s="1">
        <v>45553</v>
      </c>
    </row>
    <row r="144" spans="1:7" x14ac:dyDescent="0.3">
      <c r="A144" t="s">
        <v>215</v>
      </c>
      <c r="B144">
        <v>1</v>
      </c>
      <c r="C144" s="2">
        <v>50</v>
      </c>
      <c r="D144" s="2">
        <f t="shared" si="2"/>
        <v>50</v>
      </c>
      <c r="E144" t="s">
        <v>7</v>
      </c>
      <c r="F144" t="s">
        <v>49</v>
      </c>
      <c r="G144" s="1">
        <v>45554</v>
      </c>
    </row>
    <row r="145" spans="1:7" x14ac:dyDescent="0.3">
      <c r="A145" t="s">
        <v>41</v>
      </c>
      <c r="B145">
        <v>1</v>
      </c>
      <c r="C145" s="2">
        <v>45</v>
      </c>
      <c r="D145" s="2">
        <f t="shared" si="2"/>
        <v>45</v>
      </c>
      <c r="E145" t="s">
        <v>7</v>
      </c>
      <c r="G145" s="1">
        <v>45554</v>
      </c>
    </row>
    <row r="146" spans="1:7" x14ac:dyDescent="0.3">
      <c r="A146" t="s">
        <v>162</v>
      </c>
      <c r="B146">
        <v>1</v>
      </c>
      <c r="C146" s="2">
        <v>10</v>
      </c>
      <c r="D146" s="2">
        <f t="shared" si="2"/>
        <v>10</v>
      </c>
      <c r="E146" t="s">
        <v>7</v>
      </c>
      <c r="G146" s="1">
        <v>45554</v>
      </c>
    </row>
    <row r="147" spans="1:7" x14ac:dyDescent="0.3">
      <c r="A147" t="s">
        <v>50</v>
      </c>
      <c r="B147">
        <v>1</v>
      </c>
      <c r="C147" s="2">
        <v>60</v>
      </c>
      <c r="D147" s="2">
        <f t="shared" si="2"/>
        <v>60</v>
      </c>
      <c r="E147" t="s">
        <v>7</v>
      </c>
      <c r="G147" s="1">
        <v>45554</v>
      </c>
    </row>
    <row r="148" spans="1:7" x14ac:dyDescent="0.3">
      <c r="A148" t="s">
        <v>202</v>
      </c>
      <c r="B148">
        <v>1</v>
      </c>
      <c r="C148" s="2">
        <v>100</v>
      </c>
      <c r="D148" s="2">
        <f t="shared" si="2"/>
        <v>100</v>
      </c>
      <c r="E148" t="s">
        <v>7</v>
      </c>
      <c r="G148" s="1">
        <v>45554</v>
      </c>
    </row>
    <row r="149" spans="1:7" x14ac:dyDescent="0.3">
      <c r="A149" t="s">
        <v>41</v>
      </c>
      <c r="B149">
        <v>1</v>
      </c>
      <c r="C149" s="2">
        <v>45</v>
      </c>
      <c r="D149" s="2">
        <f t="shared" si="2"/>
        <v>45</v>
      </c>
      <c r="E149" t="s">
        <v>7</v>
      </c>
      <c r="G149" s="1">
        <v>45554</v>
      </c>
    </row>
    <row r="150" spans="1:7" x14ac:dyDescent="0.3">
      <c r="A150" t="s">
        <v>182</v>
      </c>
      <c r="B150">
        <v>1</v>
      </c>
      <c r="C150" s="2">
        <v>150</v>
      </c>
      <c r="D150" s="2">
        <f t="shared" si="2"/>
        <v>150</v>
      </c>
      <c r="E150" t="s">
        <v>7</v>
      </c>
      <c r="G150" s="1">
        <v>45554</v>
      </c>
    </row>
    <row r="151" spans="1:7" x14ac:dyDescent="0.3">
      <c r="A151" t="s">
        <v>215</v>
      </c>
      <c r="B151">
        <v>1</v>
      </c>
      <c r="C151" s="2">
        <v>50</v>
      </c>
      <c r="D151" s="2">
        <f t="shared" si="2"/>
        <v>50</v>
      </c>
      <c r="E151" t="s">
        <v>7</v>
      </c>
      <c r="G151" s="1">
        <v>45554</v>
      </c>
    </row>
    <row r="152" spans="1:7" x14ac:dyDescent="0.3">
      <c r="A152" t="s">
        <v>190</v>
      </c>
      <c r="B152">
        <v>1</v>
      </c>
      <c r="C152" s="2">
        <v>100</v>
      </c>
      <c r="D152" s="2">
        <f t="shared" si="2"/>
        <v>100</v>
      </c>
      <c r="E152" t="s">
        <v>7</v>
      </c>
      <c r="G152" s="1">
        <v>45554</v>
      </c>
    </row>
    <row r="153" spans="1:7" x14ac:dyDescent="0.3">
      <c r="A153" t="s">
        <v>188</v>
      </c>
      <c r="B153">
        <v>1</v>
      </c>
      <c r="C153" s="2">
        <v>50</v>
      </c>
      <c r="D153" s="2">
        <f t="shared" si="2"/>
        <v>50</v>
      </c>
      <c r="E153" t="s">
        <v>7</v>
      </c>
      <c r="G153" s="1">
        <v>45554</v>
      </c>
    </row>
    <row r="154" spans="1:7" x14ac:dyDescent="0.3">
      <c r="A154" t="s">
        <v>162</v>
      </c>
      <c r="B154">
        <v>1</v>
      </c>
      <c r="C154" s="2">
        <v>10</v>
      </c>
      <c r="D154" s="2">
        <f t="shared" si="2"/>
        <v>10</v>
      </c>
      <c r="E154" t="s">
        <v>7</v>
      </c>
      <c r="G154" s="1">
        <v>45554</v>
      </c>
    </row>
    <row r="155" spans="1:7" x14ac:dyDescent="0.3">
      <c r="A155" t="s">
        <v>182</v>
      </c>
      <c r="B155">
        <v>4</v>
      </c>
      <c r="C155" s="2">
        <v>290</v>
      </c>
      <c r="D155" s="2">
        <f t="shared" si="2"/>
        <v>1160</v>
      </c>
      <c r="E155" t="s">
        <v>7</v>
      </c>
      <c r="F155" t="s">
        <v>17</v>
      </c>
      <c r="G155" s="1">
        <v>45554</v>
      </c>
    </row>
    <row r="156" spans="1:7" x14ac:dyDescent="0.3">
      <c r="A156" t="s">
        <v>233</v>
      </c>
      <c r="B156">
        <v>3</v>
      </c>
      <c r="C156" s="2">
        <v>145</v>
      </c>
      <c r="D156" s="2">
        <f t="shared" si="2"/>
        <v>435</v>
      </c>
      <c r="E156" t="s">
        <v>7</v>
      </c>
      <c r="F156" t="s">
        <v>17</v>
      </c>
      <c r="G156" s="1">
        <v>45554</v>
      </c>
    </row>
    <row r="157" spans="1:7" x14ac:dyDescent="0.3">
      <c r="A157" t="s">
        <v>188</v>
      </c>
      <c r="B157">
        <v>1</v>
      </c>
      <c r="C157" s="2">
        <v>50</v>
      </c>
      <c r="D157" s="2">
        <f t="shared" si="2"/>
        <v>50</v>
      </c>
      <c r="E157" t="s">
        <v>7</v>
      </c>
      <c r="G157" s="1">
        <v>45556</v>
      </c>
    </row>
    <row r="158" spans="1:7" x14ac:dyDescent="0.3">
      <c r="A158" t="s">
        <v>190</v>
      </c>
      <c r="B158">
        <v>1</v>
      </c>
      <c r="C158" s="2">
        <v>100</v>
      </c>
      <c r="D158" s="2">
        <f t="shared" si="2"/>
        <v>100</v>
      </c>
      <c r="E158" t="s">
        <v>7</v>
      </c>
      <c r="G158" s="1">
        <v>45556</v>
      </c>
    </row>
    <row r="159" spans="1:7" x14ac:dyDescent="0.3">
      <c r="A159" t="s">
        <v>202</v>
      </c>
      <c r="B159">
        <v>1</v>
      </c>
      <c r="C159" s="2">
        <v>100</v>
      </c>
      <c r="D159" s="2">
        <f t="shared" si="2"/>
        <v>100</v>
      </c>
      <c r="E159" t="s">
        <v>7</v>
      </c>
      <c r="G159" s="1">
        <v>45556</v>
      </c>
    </row>
    <row r="160" spans="1:7" x14ac:dyDescent="0.3">
      <c r="A160" t="s">
        <v>178</v>
      </c>
      <c r="B160">
        <v>1</v>
      </c>
      <c r="C160" s="2">
        <v>100</v>
      </c>
      <c r="D160" s="2">
        <f t="shared" si="2"/>
        <v>100</v>
      </c>
      <c r="E160" t="s">
        <v>7</v>
      </c>
      <c r="G160" s="1">
        <v>45556</v>
      </c>
    </row>
    <row r="161" spans="1:7" x14ac:dyDescent="0.3">
      <c r="A161" t="s">
        <v>215</v>
      </c>
      <c r="B161">
        <v>1</v>
      </c>
      <c r="C161" s="2">
        <v>80</v>
      </c>
      <c r="D161" s="2">
        <f t="shared" si="2"/>
        <v>80</v>
      </c>
      <c r="E161" t="s">
        <v>7</v>
      </c>
      <c r="G161" s="1">
        <v>45556</v>
      </c>
    </row>
    <row r="162" spans="1:7" x14ac:dyDescent="0.3">
      <c r="A162" t="s">
        <v>196</v>
      </c>
      <c r="B162">
        <v>1</v>
      </c>
      <c r="C162" s="2">
        <v>250</v>
      </c>
      <c r="D162" s="2">
        <f t="shared" si="2"/>
        <v>250</v>
      </c>
      <c r="E162" t="s">
        <v>7</v>
      </c>
      <c r="G162" s="1">
        <v>45556</v>
      </c>
    </row>
    <row r="163" spans="1:7" x14ac:dyDescent="0.3">
      <c r="A163" t="s">
        <v>188</v>
      </c>
      <c r="B163">
        <v>1</v>
      </c>
      <c r="C163" s="2">
        <v>50</v>
      </c>
      <c r="D163" s="2">
        <f t="shared" si="2"/>
        <v>50</v>
      </c>
      <c r="E163" t="s">
        <v>7</v>
      </c>
      <c r="G163" s="1">
        <v>45557</v>
      </c>
    </row>
    <row r="164" spans="1:7" x14ac:dyDescent="0.3">
      <c r="A164" t="s">
        <v>190</v>
      </c>
      <c r="B164">
        <v>1</v>
      </c>
      <c r="C164" s="2">
        <v>100</v>
      </c>
      <c r="D164" s="2">
        <f t="shared" si="2"/>
        <v>100</v>
      </c>
      <c r="E164" t="s">
        <v>7</v>
      </c>
      <c r="G164" s="1">
        <v>45557</v>
      </c>
    </row>
    <row r="165" spans="1:7" x14ac:dyDescent="0.3">
      <c r="A165" t="s">
        <v>202</v>
      </c>
      <c r="B165">
        <v>1</v>
      </c>
      <c r="C165" s="2">
        <v>100</v>
      </c>
      <c r="D165" s="2">
        <f t="shared" si="2"/>
        <v>100</v>
      </c>
      <c r="E165" t="s">
        <v>7</v>
      </c>
      <c r="G165" s="1">
        <v>45557</v>
      </c>
    </row>
    <row r="166" spans="1:7" x14ac:dyDescent="0.3">
      <c r="A166" t="s">
        <v>196</v>
      </c>
      <c r="B166">
        <v>1</v>
      </c>
      <c r="C166" s="2">
        <v>250</v>
      </c>
      <c r="D166" s="2">
        <f t="shared" si="2"/>
        <v>250</v>
      </c>
      <c r="E166" t="s">
        <v>7</v>
      </c>
      <c r="G166" s="1">
        <v>45557</v>
      </c>
    </row>
    <row r="167" spans="1:7" x14ac:dyDescent="0.3">
      <c r="A167" t="s">
        <v>174</v>
      </c>
      <c r="B167">
        <v>0.4</v>
      </c>
      <c r="C167" s="2">
        <v>250</v>
      </c>
      <c r="D167" s="2">
        <f t="shared" si="2"/>
        <v>100</v>
      </c>
      <c r="E167" t="s">
        <v>7</v>
      </c>
      <c r="G167" s="1">
        <v>45557</v>
      </c>
    </row>
    <row r="168" spans="1:7" x14ac:dyDescent="0.3">
      <c r="A168" t="s">
        <v>176</v>
      </c>
      <c r="B168">
        <v>0.2</v>
      </c>
      <c r="C168" s="2">
        <v>400</v>
      </c>
      <c r="D168" s="2">
        <f t="shared" si="2"/>
        <v>80</v>
      </c>
      <c r="E168" t="s">
        <v>7</v>
      </c>
      <c r="G168" s="1">
        <v>45557</v>
      </c>
    </row>
    <row r="169" spans="1:7" x14ac:dyDescent="0.3">
      <c r="A169" t="s">
        <v>182</v>
      </c>
      <c r="B169">
        <v>1</v>
      </c>
      <c r="C169" s="2">
        <v>180</v>
      </c>
      <c r="D169" s="2">
        <f t="shared" si="2"/>
        <v>180</v>
      </c>
      <c r="E169" t="s">
        <v>7</v>
      </c>
      <c r="G169" s="1">
        <v>45557</v>
      </c>
    </row>
    <row r="170" spans="1:7" x14ac:dyDescent="0.3">
      <c r="A170" t="s">
        <v>182</v>
      </c>
      <c r="B170">
        <v>5</v>
      </c>
      <c r="C170" s="2">
        <v>200</v>
      </c>
      <c r="D170" s="2">
        <f t="shared" si="2"/>
        <v>1000</v>
      </c>
      <c r="E170" t="s">
        <v>7</v>
      </c>
      <c r="G170" s="1">
        <v>45557</v>
      </c>
    </row>
    <row r="171" spans="1:7" x14ac:dyDescent="0.3">
      <c r="A171" t="s">
        <v>233</v>
      </c>
      <c r="B171">
        <v>5</v>
      </c>
      <c r="C171" s="2">
        <v>300</v>
      </c>
      <c r="D171" s="2">
        <f t="shared" si="2"/>
        <v>1500</v>
      </c>
      <c r="E171" t="s">
        <v>7</v>
      </c>
      <c r="G171" s="1">
        <v>45557</v>
      </c>
    </row>
    <row r="172" spans="1:7" x14ac:dyDescent="0.3">
      <c r="A172" t="s">
        <v>233</v>
      </c>
      <c r="B172">
        <v>25</v>
      </c>
      <c r="C172" s="2">
        <v>400</v>
      </c>
      <c r="D172" s="2">
        <f t="shared" si="2"/>
        <v>10000</v>
      </c>
      <c r="E172" t="s">
        <v>52</v>
      </c>
      <c r="F172" t="s">
        <v>17</v>
      </c>
      <c r="G172" s="1">
        <v>45557</v>
      </c>
    </row>
    <row r="173" spans="1:7" x14ac:dyDescent="0.3">
      <c r="A173" t="s">
        <v>194</v>
      </c>
      <c r="B173">
        <v>15</v>
      </c>
      <c r="C173" s="2">
        <v>1400</v>
      </c>
      <c r="D173" s="2">
        <f t="shared" si="2"/>
        <v>21000</v>
      </c>
      <c r="E173" t="s">
        <v>52</v>
      </c>
      <c r="F173" t="s">
        <v>17</v>
      </c>
      <c r="G173" s="1">
        <v>45557</v>
      </c>
    </row>
    <row r="174" spans="1:7" x14ac:dyDescent="0.3">
      <c r="A174" t="s">
        <v>13</v>
      </c>
      <c r="B174">
        <v>25</v>
      </c>
      <c r="C174" s="2">
        <v>450</v>
      </c>
      <c r="D174" s="2">
        <f t="shared" si="2"/>
        <v>11250</v>
      </c>
      <c r="E174" t="s">
        <v>52</v>
      </c>
      <c r="F174" t="s">
        <v>17</v>
      </c>
      <c r="G174" s="1">
        <v>45557</v>
      </c>
    </row>
    <row r="175" spans="1:7" x14ac:dyDescent="0.3">
      <c r="A175" t="s">
        <v>176</v>
      </c>
      <c r="B175">
        <v>12</v>
      </c>
      <c r="C175" s="2">
        <v>550</v>
      </c>
      <c r="D175" s="2">
        <f t="shared" si="2"/>
        <v>6600</v>
      </c>
      <c r="E175" t="s">
        <v>52</v>
      </c>
      <c r="F175" t="s">
        <v>17</v>
      </c>
      <c r="G175" s="1">
        <v>45557</v>
      </c>
    </row>
    <row r="176" spans="1:7" x14ac:dyDescent="0.3">
      <c r="A176" t="s">
        <v>205</v>
      </c>
      <c r="B176">
        <v>25</v>
      </c>
      <c r="C176" s="2">
        <v>550</v>
      </c>
      <c r="D176" s="2">
        <f t="shared" si="2"/>
        <v>13750</v>
      </c>
      <c r="E176" t="s">
        <v>52</v>
      </c>
      <c r="F176" t="s">
        <v>17</v>
      </c>
      <c r="G176" s="1">
        <v>45557</v>
      </c>
    </row>
    <row r="177" spans="1:7" x14ac:dyDescent="0.3">
      <c r="A177" t="s">
        <v>215</v>
      </c>
      <c r="B177">
        <v>48</v>
      </c>
      <c r="C177" s="2">
        <v>75</v>
      </c>
      <c r="D177" s="2">
        <f t="shared" si="2"/>
        <v>3600</v>
      </c>
      <c r="E177" t="s">
        <v>52</v>
      </c>
      <c r="F177" t="s">
        <v>17</v>
      </c>
      <c r="G177" s="1">
        <v>45557</v>
      </c>
    </row>
    <row r="178" spans="1:7" x14ac:dyDescent="0.3">
      <c r="A178" t="s">
        <v>53</v>
      </c>
      <c r="B178">
        <v>11</v>
      </c>
      <c r="C178" s="2">
        <v>1250</v>
      </c>
      <c r="D178" s="2">
        <f t="shared" si="2"/>
        <v>13750</v>
      </c>
      <c r="E178" t="s">
        <v>52</v>
      </c>
      <c r="F178" t="s">
        <v>17</v>
      </c>
      <c r="G178" s="1">
        <v>45557</v>
      </c>
    </row>
    <row r="179" spans="1:7" x14ac:dyDescent="0.3">
      <c r="A179" t="s">
        <v>188</v>
      </c>
      <c r="B179">
        <v>1</v>
      </c>
      <c r="C179" s="2">
        <v>50</v>
      </c>
      <c r="D179" s="2">
        <f t="shared" si="2"/>
        <v>50</v>
      </c>
      <c r="E179" t="s">
        <v>7</v>
      </c>
      <c r="G179" s="1">
        <v>45558</v>
      </c>
    </row>
    <row r="180" spans="1:7" x14ac:dyDescent="0.3">
      <c r="A180" t="s">
        <v>196</v>
      </c>
      <c r="B180">
        <v>1</v>
      </c>
      <c r="C180" s="2">
        <v>250</v>
      </c>
      <c r="D180" s="2">
        <f t="shared" si="2"/>
        <v>250</v>
      </c>
      <c r="E180" t="s">
        <v>7</v>
      </c>
      <c r="G180" s="1">
        <v>45558</v>
      </c>
    </row>
    <row r="181" spans="1:7" x14ac:dyDescent="0.3">
      <c r="A181" t="s">
        <v>178</v>
      </c>
      <c r="B181">
        <v>2</v>
      </c>
      <c r="C181" s="2">
        <v>120</v>
      </c>
      <c r="D181" s="2">
        <f t="shared" si="2"/>
        <v>240</v>
      </c>
      <c r="E181" t="s">
        <v>7</v>
      </c>
      <c r="G181" s="1">
        <v>45558</v>
      </c>
    </row>
    <row r="182" spans="1:7" x14ac:dyDescent="0.3">
      <c r="A182" t="s">
        <v>171</v>
      </c>
      <c r="B182">
        <v>1</v>
      </c>
      <c r="C182" s="2">
        <v>140</v>
      </c>
      <c r="D182" s="2">
        <f t="shared" si="2"/>
        <v>140</v>
      </c>
      <c r="E182" t="s">
        <v>7</v>
      </c>
      <c r="G182" s="1">
        <v>45558</v>
      </c>
    </row>
    <row r="183" spans="1:7" x14ac:dyDescent="0.3">
      <c r="A183" t="s">
        <v>188</v>
      </c>
      <c r="B183">
        <v>1</v>
      </c>
      <c r="C183" s="2">
        <v>80</v>
      </c>
      <c r="D183" s="2">
        <f t="shared" si="2"/>
        <v>80</v>
      </c>
      <c r="E183" t="s">
        <v>7</v>
      </c>
      <c r="G183" s="1">
        <v>45558</v>
      </c>
    </row>
    <row r="184" spans="1:7" x14ac:dyDescent="0.3">
      <c r="A184" t="s">
        <v>174</v>
      </c>
      <c r="B184">
        <v>0.2</v>
      </c>
      <c r="C184" s="2">
        <v>450</v>
      </c>
      <c r="D184" s="2">
        <f t="shared" si="2"/>
        <v>90</v>
      </c>
      <c r="E184" t="s">
        <v>7</v>
      </c>
      <c r="G184" s="1">
        <v>45558</v>
      </c>
    </row>
    <row r="185" spans="1:7" x14ac:dyDescent="0.3">
      <c r="A185" t="s">
        <v>182</v>
      </c>
      <c r="B185">
        <v>1</v>
      </c>
      <c r="C185" s="2">
        <v>180</v>
      </c>
      <c r="D185" s="2">
        <f t="shared" si="2"/>
        <v>180</v>
      </c>
      <c r="E185" t="s">
        <v>7</v>
      </c>
      <c r="G185" s="1">
        <v>45559</v>
      </c>
    </row>
    <row r="186" spans="1:7" x14ac:dyDescent="0.3">
      <c r="A186" t="s">
        <v>176</v>
      </c>
      <c r="B186">
        <v>2</v>
      </c>
      <c r="C186" s="2">
        <v>550</v>
      </c>
      <c r="D186" s="2">
        <f t="shared" si="2"/>
        <v>1100</v>
      </c>
      <c r="E186" t="s">
        <v>7</v>
      </c>
      <c r="F186" t="s">
        <v>17</v>
      </c>
      <c r="G186" s="1">
        <v>45559</v>
      </c>
    </row>
    <row r="187" spans="1:7" x14ac:dyDescent="0.3">
      <c r="A187" t="s">
        <v>173</v>
      </c>
      <c r="B187">
        <v>1</v>
      </c>
      <c r="C187" s="2">
        <v>130</v>
      </c>
      <c r="D187" s="2">
        <f t="shared" si="2"/>
        <v>130</v>
      </c>
      <c r="E187" t="s">
        <v>7</v>
      </c>
      <c r="G187" s="1">
        <v>45559</v>
      </c>
    </row>
    <row r="188" spans="1:7" x14ac:dyDescent="0.3">
      <c r="A188" t="s">
        <v>188</v>
      </c>
      <c r="B188">
        <v>1</v>
      </c>
      <c r="C188" s="2">
        <v>70</v>
      </c>
      <c r="D188" s="2">
        <f t="shared" si="2"/>
        <v>70</v>
      </c>
      <c r="E188" t="s">
        <v>7</v>
      </c>
      <c r="G188" s="1">
        <v>45559</v>
      </c>
    </row>
    <row r="189" spans="1:7" x14ac:dyDescent="0.3">
      <c r="A189" t="s">
        <v>188</v>
      </c>
      <c r="B189">
        <v>1</v>
      </c>
      <c r="C189" s="2">
        <v>100</v>
      </c>
      <c r="D189" s="2">
        <f t="shared" si="2"/>
        <v>100</v>
      </c>
      <c r="E189" t="s">
        <v>7</v>
      </c>
      <c r="G189" s="1">
        <v>45560</v>
      </c>
    </row>
    <row r="190" spans="1:7" x14ac:dyDescent="0.3">
      <c r="A190" t="s">
        <v>202</v>
      </c>
      <c r="B190">
        <v>1</v>
      </c>
      <c r="C190" s="2">
        <v>100</v>
      </c>
      <c r="D190" s="2">
        <f t="shared" si="2"/>
        <v>100</v>
      </c>
      <c r="E190" t="s">
        <v>7</v>
      </c>
      <c r="G190" s="1">
        <v>45560</v>
      </c>
    </row>
    <row r="191" spans="1:7" x14ac:dyDescent="0.3">
      <c r="A191" t="s">
        <v>178</v>
      </c>
      <c r="B191">
        <v>1</v>
      </c>
      <c r="C191" s="2">
        <v>100</v>
      </c>
      <c r="D191" s="2">
        <f t="shared" si="2"/>
        <v>100</v>
      </c>
      <c r="E191" t="s">
        <v>7</v>
      </c>
      <c r="G191" s="1">
        <v>45560</v>
      </c>
    </row>
    <row r="192" spans="1:7" x14ac:dyDescent="0.3">
      <c r="A192" t="s">
        <v>188</v>
      </c>
      <c r="B192">
        <v>1</v>
      </c>
      <c r="C192" s="2">
        <v>50</v>
      </c>
      <c r="D192" s="2">
        <f t="shared" si="2"/>
        <v>50</v>
      </c>
      <c r="E192" t="s">
        <v>7</v>
      </c>
      <c r="F192" t="s">
        <v>17</v>
      </c>
      <c r="G192" s="1">
        <v>45560</v>
      </c>
    </row>
    <row r="193" spans="1:7" x14ac:dyDescent="0.3">
      <c r="A193" t="s">
        <v>190</v>
      </c>
      <c r="B193">
        <v>1</v>
      </c>
      <c r="C193" s="2">
        <v>100</v>
      </c>
      <c r="D193" s="2">
        <f t="shared" si="2"/>
        <v>100</v>
      </c>
      <c r="E193" t="s">
        <v>7</v>
      </c>
      <c r="G193" s="1">
        <v>45560</v>
      </c>
    </row>
    <row r="194" spans="1:7" x14ac:dyDescent="0.3">
      <c r="A194" t="s">
        <v>202</v>
      </c>
      <c r="B194">
        <v>1</v>
      </c>
      <c r="C194" s="2">
        <v>100</v>
      </c>
      <c r="D194" s="2">
        <f t="shared" si="2"/>
        <v>100</v>
      </c>
      <c r="E194" t="s">
        <v>7</v>
      </c>
      <c r="G194" s="1">
        <v>45560</v>
      </c>
    </row>
    <row r="195" spans="1:7" x14ac:dyDescent="0.3">
      <c r="A195" t="s">
        <v>41</v>
      </c>
      <c r="B195">
        <v>1</v>
      </c>
      <c r="C195" s="2">
        <v>50</v>
      </c>
      <c r="D195" s="2">
        <f t="shared" ref="D195:D258" si="3">B195*C195</f>
        <v>50</v>
      </c>
      <c r="E195" t="s">
        <v>7</v>
      </c>
      <c r="G195" s="1">
        <v>45560</v>
      </c>
    </row>
    <row r="196" spans="1:7" x14ac:dyDescent="0.3">
      <c r="A196" t="s">
        <v>182</v>
      </c>
      <c r="B196">
        <v>1</v>
      </c>
      <c r="C196" s="2">
        <v>150</v>
      </c>
      <c r="D196" s="2">
        <f t="shared" si="3"/>
        <v>150</v>
      </c>
      <c r="E196" t="s">
        <v>7</v>
      </c>
      <c r="G196" s="1">
        <v>45560</v>
      </c>
    </row>
    <row r="197" spans="1:7" x14ac:dyDescent="0.3">
      <c r="A197" t="s">
        <v>184</v>
      </c>
      <c r="B197">
        <v>1</v>
      </c>
      <c r="C197" s="2">
        <v>50</v>
      </c>
      <c r="D197" s="2">
        <f t="shared" si="3"/>
        <v>50</v>
      </c>
      <c r="E197" t="s">
        <v>7</v>
      </c>
      <c r="G197" s="1">
        <v>45560</v>
      </c>
    </row>
    <row r="198" spans="1:7" x14ac:dyDescent="0.3">
      <c r="A198" t="s">
        <v>174</v>
      </c>
      <c r="B198">
        <v>0.4</v>
      </c>
      <c r="C198" s="2">
        <v>400</v>
      </c>
      <c r="D198" s="2">
        <f t="shared" si="3"/>
        <v>160</v>
      </c>
      <c r="E198" t="s">
        <v>7</v>
      </c>
      <c r="G198" s="1">
        <v>45561</v>
      </c>
    </row>
    <row r="199" spans="1:7" x14ac:dyDescent="0.3">
      <c r="A199" t="s">
        <v>176</v>
      </c>
      <c r="B199">
        <v>0.2</v>
      </c>
      <c r="C199" s="2">
        <v>400</v>
      </c>
      <c r="D199" s="2">
        <f t="shared" si="3"/>
        <v>80</v>
      </c>
      <c r="E199" t="s">
        <v>7</v>
      </c>
      <c r="G199" s="1">
        <v>45561</v>
      </c>
    </row>
    <row r="200" spans="1:7" x14ac:dyDescent="0.3">
      <c r="A200" t="s">
        <v>178</v>
      </c>
      <c r="B200">
        <v>1</v>
      </c>
      <c r="C200" s="2">
        <v>120</v>
      </c>
      <c r="D200" s="2">
        <f t="shared" si="3"/>
        <v>120</v>
      </c>
      <c r="E200" t="s">
        <v>7</v>
      </c>
      <c r="G200" s="1">
        <v>45561</v>
      </c>
    </row>
    <row r="201" spans="1:7" x14ac:dyDescent="0.3">
      <c r="A201" t="s">
        <v>176</v>
      </c>
      <c r="B201">
        <v>1</v>
      </c>
      <c r="C201" s="2">
        <v>530</v>
      </c>
      <c r="D201" s="2">
        <f t="shared" si="3"/>
        <v>530</v>
      </c>
      <c r="E201" t="s">
        <v>7</v>
      </c>
      <c r="G201" s="1">
        <v>45561</v>
      </c>
    </row>
    <row r="202" spans="1:7" x14ac:dyDescent="0.3">
      <c r="A202" t="s">
        <v>192</v>
      </c>
      <c r="B202">
        <v>1</v>
      </c>
      <c r="C202" s="2">
        <v>350</v>
      </c>
      <c r="D202" s="2">
        <f t="shared" si="3"/>
        <v>350</v>
      </c>
      <c r="E202" t="s">
        <v>7</v>
      </c>
      <c r="G202" s="1">
        <v>45561</v>
      </c>
    </row>
    <row r="203" spans="1:7" x14ac:dyDescent="0.3">
      <c r="A203" t="s">
        <v>196</v>
      </c>
      <c r="B203">
        <v>1</v>
      </c>
      <c r="C203" s="2">
        <v>300</v>
      </c>
      <c r="D203" s="2">
        <f t="shared" si="3"/>
        <v>300</v>
      </c>
      <c r="E203" t="s">
        <v>7</v>
      </c>
      <c r="G203" s="1">
        <v>45561</v>
      </c>
    </row>
    <row r="204" spans="1:7" x14ac:dyDescent="0.3">
      <c r="A204" t="s">
        <v>174</v>
      </c>
      <c r="B204">
        <v>1</v>
      </c>
      <c r="C204" s="2">
        <v>400</v>
      </c>
      <c r="D204" s="2">
        <f t="shared" si="3"/>
        <v>400</v>
      </c>
      <c r="E204" t="s">
        <v>7</v>
      </c>
      <c r="G204" s="1">
        <v>45563</v>
      </c>
    </row>
    <row r="205" spans="1:7" x14ac:dyDescent="0.3">
      <c r="A205" t="s">
        <v>176</v>
      </c>
      <c r="B205">
        <v>0.6</v>
      </c>
      <c r="C205" s="2">
        <v>400</v>
      </c>
      <c r="D205" s="2">
        <f t="shared" si="3"/>
        <v>240</v>
      </c>
      <c r="E205" t="s">
        <v>7</v>
      </c>
      <c r="G205" s="1">
        <v>45563</v>
      </c>
    </row>
    <row r="206" spans="1:7" x14ac:dyDescent="0.3">
      <c r="A206" t="s">
        <v>208</v>
      </c>
      <c r="B206">
        <v>3</v>
      </c>
      <c r="C206" s="2">
        <v>750</v>
      </c>
      <c r="D206" s="2">
        <f t="shared" si="3"/>
        <v>2250</v>
      </c>
      <c r="E206" t="s">
        <v>7</v>
      </c>
      <c r="G206" s="1">
        <v>45563</v>
      </c>
    </row>
    <row r="207" spans="1:7" x14ac:dyDescent="0.3">
      <c r="A207" t="s">
        <v>178</v>
      </c>
      <c r="B207">
        <v>5</v>
      </c>
      <c r="C207" s="2">
        <v>160</v>
      </c>
      <c r="D207" s="2">
        <f t="shared" si="3"/>
        <v>800</v>
      </c>
      <c r="E207" t="s">
        <v>7</v>
      </c>
      <c r="G207" s="1">
        <v>45563</v>
      </c>
    </row>
    <row r="208" spans="1:7" x14ac:dyDescent="0.3">
      <c r="A208" t="s">
        <v>191</v>
      </c>
      <c r="B208">
        <v>1</v>
      </c>
      <c r="C208" s="2">
        <v>500</v>
      </c>
      <c r="D208" s="2">
        <f t="shared" si="3"/>
        <v>500</v>
      </c>
      <c r="E208" t="s">
        <v>7</v>
      </c>
      <c r="G208" s="1">
        <v>45563</v>
      </c>
    </row>
    <row r="209" spans="1:7" x14ac:dyDescent="0.3">
      <c r="A209" t="s">
        <v>14</v>
      </c>
      <c r="B209">
        <v>1</v>
      </c>
      <c r="C209" s="2">
        <v>10</v>
      </c>
      <c r="D209" s="2">
        <f t="shared" si="3"/>
        <v>10</v>
      </c>
      <c r="E209" t="s">
        <v>7</v>
      </c>
      <c r="G209" s="1">
        <v>45564</v>
      </c>
    </row>
    <row r="210" spans="1:7" x14ac:dyDescent="0.3">
      <c r="A210" t="s">
        <v>162</v>
      </c>
      <c r="B210">
        <v>4</v>
      </c>
      <c r="C210" s="2">
        <v>15</v>
      </c>
      <c r="D210" s="2">
        <f t="shared" si="3"/>
        <v>60</v>
      </c>
      <c r="E210" t="s">
        <v>7</v>
      </c>
      <c r="G210" s="1">
        <v>45564</v>
      </c>
    </row>
    <row r="211" spans="1:7" x14ac:dyDescent="0.3">
      <c r="A211" t="s">
        <v>178</v>
      </c>
      <c r="B211">
        <v>1</v>
      </c>
      <c r="C211" s="2">
        <v>120</v>
      </c>
      <c r="D211" s="2">
        <f t="shared" si="3"/>
        <v>120</v>
      </c>
      <c r="E211" t="s">
        <v>7</v>
      </c>
      <c r="G211" s="1">
        <v>45564</v>
      </c>
    </row>
    <row r="212" spans="1:7" x14ac:dyDescent="0.3">
      <c r="A212" t="s">
        <v>173</v>
      </c>
      <c r="B212">
        <v>1</v>
      </c>
      <c r="C212" s="2">
        <v>130</v>
      </c>
      <c r="D212" s="2">
        <f t="shared" si="3"/>
        <v>130</v>
      </c>
      <c r="E212" t="s">
        <v>7</v>
      </c>
      <c r="G212" s="1">
        <v>45564</v>
      </c>
    </row>
    <row r="213" spans="1:7" x14ac:dyDescent="0.3">
      <c r="A213" t="s">
        <v>182</v>
      </c>
      <c r="B213">
        <v>2</v>
      </c>
      <c r="C213" s="2">
        <v>200</v>
      </c>
      <c r="D213" s="2">
        <f t="shared" si="3"/>
        <v>400</v>
      </c>
      <c r="E213" t="s">
        <v>7</v>
      </c>
      <c r="G213" s="1">
        <v>45564</v>
      </c>
    </row>
    <row r="214" spans="1:7" x14ac:dyDescent="0.3">
      <c r="A214" t="s">
        <v>233</v>
      </c>
      <c r="B214">
        <v>2</v>
      </c>
      <c r="C214" s="2">
        <v>300</v>
      </c>
      <c r="D214" s="2">
        <f t="shared" si="3"/>
        <v>600</v>
      </c>
      <c r="E214" t="s">
        <v>7</v>
      </c>
      <c r="G214" s="1">
        <v>45564</v>
      </c>
    </row>
    <row r="215" spans="1:7" x14ac:dyDescent="0.3">
      <c r="A215" t="s">
        <v>182</v>
      </c>
      <c r="B215">
        <v>1</v>
      </c>
      <c r="C215" s="2">
        <v>180</v>
      </c>
      <c r="D215" s="2">
        <f t="shared" si="3"/>
        <v>180</v>
      </c>
      <c r="E215" t="s">
        <v>7</v>
      </c>
      <c r="G215" s="1">
        <v>45565</v>
      </c>
    </row>
    <row r="216" spans="1:7" x14ac:dyDescent="0.3">
      <c r="A216" t="s">
        <v>171</v>
      </c>
      <c r="B216">
        <v>1</v>
      </c>
      <c r="C216" s="2">
        <v>150</v>
      </c>
      <c r="D216" s="2">
        <f t="shared" si="3"/>
        <v>150</v>
      </c>
      <c r="E216" t="s">
        <v>7</v>
      </c>
      <c r="G216" s="1">
        <v>45565</v>
      </c>
    </row>
    <row r="217" spans="1:7" x14ac:dyDescent="0.3">
      <c r="A217" t="s">
        <v>41</v>
      </c>
      <c r="B217">
        <v>1</v>
      </c>
      <c r="C217" s="2">
        <v>50</v>
      </c>
      <c r="D217" s="2">
        <f t="shared" si="3"/>
        <v>50</v>
      </c>
      <c r="E217" t="s">
        <v>7</v>
      </c>
      <c r="G217" s="1">
        <v>45565</v>
      </c>
    </row>
    <row r="218" spans="1:7" x14ac:dyDescent="0.3">
      <c r="A218" t="s">
        <v>174</v>
      </c>
      <c r="B218">
        <v>0.1</v>
      </c>
      <c r="C218" s="2">
        <v>450</v>
      </c>
      <c r="D218" s="2">
        <f t="shared" si="3"/>
        <v>45</v>
      </c>
      <c r="E218" t="s">
        <v>7</v>
      </c>
      <c r="G218" s="1">
        <v>45565</v>
      </c>
    </row>
    <row r="219" spans="1:7" x14ac:dyDescent="0.3">
      <c r="A219" t="s">
        <v>176</v>
      </c>
      <c r="B219">
        <v>0.1</v>
      </c>
      <c r="C219" s="2">
        <v>450</v>
      </c>
      <c r="D219" s="2">
        <f t="shared" si="3"/>
        <v>45</v>
      </c>
      <c r="E219" t="s">
        <v>7</v>
      </c>
      <c r="G219" s="1">
        <v>45565</v>
      </c>
    </row>
    <row r="220" spans="1:7" x14ac:dyDescent="0.3">
      <c r="A220" t="s">
        <v>182</v>
      </c>
      <c r="B220">
        <v>1</v>
      </c>
      <c r="C220" s="2">
        <v>150</v>
      </c>
      <c r="D220" s="2">
        <f t="shared" si="3"/>
        <v>150</v>
      </c>
      <c r="E220" t="s">
        <v>7</v>
      </c>
      <c r="G220" s="1">
        <v>45565</v>
      </c>
    </row>
    <row r="221" spans="1:7" x14ac:dyDescent="0.3">
      <c r="A221" t="s">
        <v>178</v>
      </c>
      <c r="B221">
        <v>1</v>
      </c>
      <c r="C221" s="2">
        <v>170</v>
      </c>
      <c r="D221" s="2">
        <f t="shared" si="3"/>
        <v>170</v>
      </c>
      <c r="E221" t="s">
        <v>7</v>
      </c>
      <c r="G221" s="1">
        <v>45565</v>
      </c>
    </row>
    <row r="222" spans="1:7" x14ac:dyDescent="0.3">
      <c r="A222" t="s">
        <v>174</v>
      </c>
      <c r="B222">
        <v>0.05</v>
      </c>
      <c r="C222" s="2">
        <v>400</v>
      </c>
      <c r="D222" s="2">
        <f t="shared" si="3"/>
        <v>20</v>
      </c>
      <c r="E222" t="s">
        <v>7</v>
      </c>
      <c r="G222" s="1">
        <v>45565</v>
      </c>
    </row>
    <row r="223" spans="1:7" x14ac:dyDescent="0.3">
      <c r="A223" t="s">
        <v>13</v>
      </c>
      <c r="B223">
        <v>1</v>
      </c>
      <c r="C223" s="2">
        <v>250</v>
      </c>
      <c r="D223" s="2">
        <f t="shared" si="3"/>
        <v>250</v>
      </c>
      <c r="E223" t="s">
        <v>7</v>
      </c>
      <c r="G223" s="1">
        <v>45565</v>
      </c>
    </row>
    <row r="224" spans="1:7" x14ac:dyDescent="0.3">
      <c r="A224" t="s">
        <v>194</v>
      </c>
      <c r="B224">
        <v>1</v>
      </c>
      <c r="C224" s="2">
        <v>1300</v>
      </c>
      <c r="D224" s="2">
        <f t="shared" si="3"/>
        <v>1300</v>
      </c>
      <c r="E224" t="s">
        <v>60</v>
      </c>
      <c r="F224" t="s">
        <v>17</v>
      </c>
      <c r="G224" s="1">
        <v>45565</v>
      </c>
    </row>
    <row r="225" spans="1:9" x14ac:dyDescent="0.3">
      <c r="A225" t="s">
        <v>176</v>
      </c>
      <c r="B225">
        <v>2</v>
      </c>
      <c r="C225" s="2">
        <v>800</v>
      </c>
      <c r="D225" s="2">
        <f t="shared" si="3"/>
        <v>1600</v>
      </c>
      <c r="E225" t="s">
        <v>60</v>
      </c>
      <c r="F225" t="s">
        <v>17</v>
      </c>
      <c r="G225" s="1">
        <v>45565</v>
      </c>
    </row>
    <row r="226" spans="1:9" x14ac:dyDescent="0.3">
      <c r="A226" t="s">
        <v>205</v>
      </c>
      <c r="B226">
        <v>2</v>
      </c>
      <c r="C226" s="2">
        <v>500</v>
      </c>
      <c r="D226" s="2">
        <f t="shared" si="3"/>
        <v>1000</v>
      </c>
      <c r="E226" t="s">
        <v>60</v>
      </c>
      <c r="F226" t="s">
        <v>17</v>
      </c>
      <c r="G226" s="1">
        <v>45565</v>
      </c>
    </row>
    <row r="227" spans="1:9" x14ac:dyDescent="0.3">
      <c r="A227" t="s">
        <v>233</v>
      </c>
      <c r="B227">
        <v>1</v>
      </c>
      <c r="C227" s="2">
        <v>550</v>
      </c>
      <c r="D227" s="2">
        <f t="shared" si="3"/>
        <v>550</v>
      </c>
      <c r="E227" t="s">
        <v>60</v>
      </c>
      <c r="F227" t="s">
        <v>17</v>
      </c>
      <c r="G227" s="1">
        <v>45565</v>
      </c>
    </row>
    <row r="228" spans="1:9" x14ac:dyDescent="0.3">
      <c r="A228" t="s">
        <v>215</v>
      </c>
      <c r="B228">
        <v>1</v>
      </c>
      <c r="C228" s="2">
        <v>200</v>
      </c>
      <c r="D228" s="2">
        <f t="shared" si="3"/>
        <v>200</v>
      </c>
      <c r="E228" t="s">
        <v>60</v>
      </c>
      <c r="F228" t="s">
        <v>17</v>
      </c>
      <c r="G228" s="1">
        <v>45565</v>
      </c>
    </row>
    <row r="229" spans="1:9" x14ac:dyDescent="0.3">
      <c r="A229" t="s">
        <v>185</v>
      </c>
      <c r="B229">
        <v>2</v>
      </c>
      <c r="C229" s="2">
        <v>1250</v>
      </c>
      <c r="D229" s="2">
        <f t="shared" si="3"/>
        <v>2500</v>
      </c>
      <c r="E229" t="s">
        <v>60</v>
      </c>
      <c r="F229" t="s">
        <v>17</v>
      </c>
      <c r="G229" s="1">
        <v>45565</v>
      </c>
    </row>
    <row r="230" spans="1:9" x14ac:dyDescent="0.3">
      <c r="A230" t="s">
        <v>174</v>
      </c>
      <c r="B230">
        <v>2</v>
      </c>
      <c r="C230" s="2">
        <v>800</v>
      </c>
      <c r="D230" s="2">
        <f t="shared" si="3"/>
        <v>1600</v>
      </c>
      <c r="E230" t="s">
        <v>60</v>
      </c>
      <c r="F230" t="s">
        <v>17</v>
      </c>
      <c r="G230" s="1">
        <v>45565</v>
      </c>
    </row>
    <row r="231" spans="1:9" x14ac:dyDescent="0.3">
      <c r="A231" t="s">
        <v>197</v>
      </c>
      <c r="B231">
        <v>1</v>
      </c>
      <c r="C231" s="2">
        <v>500</v>
      </c>
      <c r="D231" s="2">
        <f t="shared" si="3"/>
        <v>500</v>
      </c>
      <c r="E231" t="s">
        <v>60</v>
      </c>
      <c r="F231" t="s">
        <v>17</v>
      </c>
      <c r="G231" s="1">
        <v>45565</v>
      </c>
    </row>
    <row r="232" spans="1:9" x14ac:dyDescent="0.3">
      <c r="A232" t="s">
        <v>180</v>
      </c>
      <c r="B232">
        <v>1</v>
      </c>
      <c r="C232" s="2">
        <v>500</v>
      </c>
      <c r="D232" s="2">
        <f t="shared" si="3"/>
        <v>500</v>
      </c>
      <c r="E232" t="s">
        <v>60</v>
      </c>
      <c r="F232" t="s">
        <v>17</v>
      </c>
      <c r="G232" s="1">
        <v>45565</v>
      </c>
    </row>
    <row r="233" spans="1:9" x14ac:dyDescent="0.3">
      <c r="A233" t="s">
        <v>182</v>
      </c>
      <c r="B233">
        <v>2</v>
      </c>
      <c r="C233" s="2">
        <v>350</v>
      </c>
      <c r="D233" s="2">
        <f t="shared" si="3"/>
        <v>700</v>
      </c>
      <c r="E233" t="s">
        <v>60</v>
      </c>
      <c r="F233" t="s">
        <v>17</v>
      </c>
      <c r="G233" s="1">
        <v>45565</v>
      </c>
    </row>
    <row r="234" spans="1:9" x14ac:dyDescent="0.3">
      <c r="A234" t="s">
        <v>191</v>
      </c>
      <c r="B234">
        <v>1</v>
      </c>
      <c r="C234" s="2">
        <v>500</v>
      </c>
      <c r="D234" s="2">
        <f t="shared" si="3"/>
        <v>500</v>
      </c>
      <c r="E234" t="s">
        <v>60</v>
      </c>
      <c r="F234" t="s">
        <v>17</v>
      </c>
      <c r="G234" s="1">
        <v>45565</v>
      </c>
    </row>
    <row r="235" spans="1:9" x14ac:dyDescent="0.3">
      <c r="A235" t="s">
        <v>172</v>
      </c>
      <c r="B235">
        <v>1</v>
      </c>
      <c r="C235" s="2">
        <v>450</v>
      </c>
      <c r="D235" s="2">
        <f t="shared" si="3"/>
        <v>450</v>
      </c>
      <c r="E235" t="s">
        <v>60</v>
      </c>
      <c r="F235" t="s">
        <v>17</v>
      </c>
      <c r="G235" s="1">
        <v>45565</v>
      </c>
    </row>
    <row r="236" spans="1:9" x14ac:dyDescent="0.3">
      <c r="A236" t="s">
        <v>178</v>
      </c>
      <c r="B236">
        <v>1</v>
      </c>
      <c r="C236" s="2">
        <v>220</v>
      </c>
      <c r="D236" s="2">
        <f t="shared" si="3"/>
        <v>220</v>
      </c>
      <c r="E236" t="s">
        <v>60</v>
      </c>
      <c r="F236" t="s">
        <v>17</v>
      </c>
      <c r="G236" s="1">
        <v>45565</v>
      </c>
    </row>
    <row r="237" spans="1:9" x14ac:dyDescent="0.3">
      <c r="A237" t="s">
        <v>55</v>
      </c>
      <c r="B237">
        <v>1</v>
      </c>
      <c r="C237" s="2">
        <v>1700</v>
      </c>
      <c r="D237" s="2">
        <f t="shared" si="3"/>
        <v>1700</v>
      </c>
      <c r="E237" t="s">
        <v>60</v>
      </c>
      <c r="F237" t="s">
        <v>17</v>
      </c>
      <c r="G237" s="1">
        <v>45565</v>
      </c>
    </row>
    <row r="238" spans="1:9" x14ac:dyDescent="0.3">
      <c r="A238" t="s">
        <v>195</v>
      </c>
      <c r="B238">
        <v>1</v>
      </c>
      <c r="C238" s="2">
        <v>1450</v>
      </c>
      <c r="D238" s="2">
        <f t="shared" si="3"/>
        <v>1450</v>
      </c>
      <c r="E238" t="s">
        <v>60</v>
      </c>
      <c r="F238" t="s">
        <v>17</v>
      </c>
      <c r="G238" s="1">
        <v>45565</v>
      </c>
      <c r="I238">
        <f>SUBTOTAL(9,B35:B1350)</f>
        <v>11368.030000000013</v>
      </c>
    </row>
    <row r="239" spans="1:9" x14ac:dyDescent="0.3">
      <c r="A239" t="s">
        <v>179</v>
      </c>
      <c r="B239">
        <v>2</v>
      </c>
      <c r="C239" s="2">
        <v>400</v>
      </c>
      <c r="D239" s="2">
        <f t="shared" si="3"/>
        <v>800</v>
      </c>
      <c r="E239" t="s">
        <v>60</v>
      </c>
      <c r="F239" t="s">
        <v>17</v>
      </c>
      <c r="G239" s="1">
        <v>45565</v>
      </c>
    </row>
    <row r="240" spans="1:9" x14ac:dyDescent="0.3">
      <c r="A240" t="s">
        <v>167</v>
      </c>
      <c r="B240">
        <v>2</v>
      </c>
      <c r="C240" s="2">
        <v>350</v>
      </c>
      <c r="D240" s="2">
        <f t="shared" si="3"/>
        <v>700</v>
      </c>
      <c r="E240" t="s">
        <v>60</v>
      </c>
      <c r="F240" t="s">
        <v>17</v>
      </c>
      <c r="G240" s="1">
        <v>45565</v>
      </c>
    </row>
    <row r="241" spans="1:7" x14ac:dyDescent="0.3">
      <c r="A241" t="s">
        <v>41</v>
      </c>
      <c r="B241">
        <v>1</v>
      </c>
      <c r="C241" s="2">
        <v>50</v>
      </c>
      <c r="D241" s="2">
        <f t="shared" si="3"/>
        <v>50</v>
      </c>
      <c r="E241" t="s">
        <v>7</v>
      </c>
      <c r="G241" s="1">
        <v>45566</v>
      </c>
    </row>
    <row r="242" spans="1:7" x14ac:dyDescent="0.3">
      <c r="A242" t="s">
        <v>190</v>
      </c>
      <c r="B242">
        <v>1</v>
      </c>
      <c r="C242" s="2">
        <v>100</v>
      </c>
      <c r="D242" s="2">
        <f t="shared" si="3"/>
        <v>100</v>
      </c>
      <c r="E242" t="s">
        <v>7</v>
      </c>
      <c r="G242" s="1">
        <v>45566</v>
      </c>
    </row>
    <row r="243" spans="1:7" x14ac:dyDescent="0.3">
      <c r="A243" t="s">
        <v>188</v>
      </c>
      <c r="B243">
        <v>1</v>
      </c>
      <c r="C243" s="2">
        <v>100</v>
      </c>
      <c r="D243" s="2">
        <f t="shared" si="3"/>
        <v>100</v>
      </c>
      <c r="E243" t="s">
        <v>7</v>
      </c>
      <c r="G243" s="1">
        <v>45566</v>
      </c>
    </row>
    <row r="244" spans="1:7" x14ac:dyDescent="0.3">
      <c r="A244" t="s">
        <v>207</v>
      </c>
      <c r="B244">
        <v>1</v>
      </c>
      <c r="C244" s="2">
        <v>230</v>
      </c>
      <c r="D244" s="2">
        <f t="shared" si="3"/>
        <v>230</v>
      </c>
      <c r="E244" t="s">
        <v>7</v>
      </c>
      <c r="F244" t="s">
        <v>17</v>
      </c>
      <c r="G244" s="1">
        <v>45566</v>
      </c>
    </row>
    <row r="245" spans="1:7" x14ac:dyDescent="0.3">
      <c r="A245" t="s">
        <v>188</v>
      </c>
      <c r="B245">
        <v>1</v>
      </c>
      <c r="C245" s="2">
        <v>70</v>
      </c>
      <c r="D245" s="2">
        <f t="shared" si="3"/>
        <v>70</v>
      </c>
      <c r="E245" t="s">
        <v>7</v>
      </c>
      <c r="G245" s="1">
        <v>45566</v>
      </c>
    </row>
    <row r="246" spans="1:7" x14ac:dyDescent="0.3">
      <c r="A246" t="s">
        <v>162</v>
      </c>
      <c r="B246">
        <v>2</v>
      </c>
      <c r="C246" s="2">
        <v>20</v>
      </c>
      <c r="D246" s="2">
        <f t="shared" si="3"/>
        <v>40</v>
      </c>
      <c r="E246" t="s">
        <v>7</v>
      </c>
      <c r="G246" s="1">
        <v>45566</v>
      </c>
    </row>
    <row r="247" spans="1:7" x14ac:dyDescent="0.3">
      <c r="A247" t="s">
        <v>14</v>
      </c>
      <c r="B247">
        <v>8</v>
      </c>
      <c r="C247" s="2">
        <v>15</v>
      </c>
      <c r="D247" s="2">
        <f t="shared" si="3"/>
        <v>120</v>
      </c>
      <c r="E247" t="s">
        <v>7</v>
      </c>
      <c r="G247" s="1">
        <v>45567</v>
      </c>
    </row>
    <row r="248" spans="1:7" x14ac:dyDescent="0.3">
      <c r="A248" t="s">
        <v>162</v>
      </c>
      <c r="B248">
        <v>1</v>
      </c>
      <c r="C248" s="2">
        <v>20</v>
      </c>
      <c r="D248" s="2">
        <f t="shared" si="3"/>
        <v>20</v>
      </c>
      <c r="E248" t="s">
        <v>7</v>
      </c>
      <c r="G248" s="1">
        <v>45567</v>
      </c>
    </row>
    <row r="249" spans="1:7" x14ac:dyDescent="0.3">
      <c r="A249" t="s">
        <v>14</v>
      </c>
      <c r="B249">
        <v>3</v>
      </c>
      <c r="C249" s="2">
        <v>15</v>
      </c>
      <c r="D249" s="2">
        <f t="shared" si="3"/>
        <v>45</v>
      </c>
      <c r="E249" t="s">
        <v>7</v>
      </c>
      <c r="G249" s="1">
        <v>45567</v>
      </c>
    </row>
    <row r="250" spans="1:7" x14ac:dyDescent="0.3">
      <c r="A250" t="s">
        <v>188</v>
      </c>
      <c r="B250">
        <v>1</v>
      </c>
      <c r="C250" s="2">
        <v>100</v>
      </c>
      <c r="D250" s="2">
        <f t="shared" si="3"/>
        <v>100</v>
      </c>
      <c r="E250" t="s">
        <v>7</v>
      </c>
      <c r="G250" s="1">
        <v>45567</v>
      </c>
    </row>
    <row r="251" spans="1:7" x14ac:dyDescent="0.3">
      <c r="A251" t="s">
        <v>202</v>
      </c>
      <c r="B251">
        <v>1</v>
      </c>
      <c r="C251" s="2">
        <v>100</v>
      </c>
      <c r="D251" s="2">
        <f t="shared" si="3"/>
        <v>100</v>
      </c>
      <c r="E251" t="s">
        <v>7</v>
      </c>
      <c r="G251" s="1">
        <v>45567</v>
      </c>
    </row>
    <row r="252" spans="1:7" x14ac:dyDescent="0.3">
      <c r="A252" t="s">
        <v>190</v>
      </c>
      <c r="B252">
        <v>1</v>
      </c>
      <c r="C252" s="2">
        <v>100</v>
      </c>
      <c r="D252" s="2">
        <f t="shared" si="3"/>
        <v>100</v>
      </c>
      <c r="E252" t="s">
        <v>7</v>
      </c>
      <c r="G252" s="1">
        <v>45567</v>
      </c>
    </row>
    <row r="253" spans="1:7" x14ac:dyDescent="0.3">
      <c r="A253" t="s">
        <v>182</v>
      </c>
      <c r="B253">
        <v>1</v>
      </c>
      <c r="C253" s="2">
        <v>140</v>
      </c>
      <c r="D253" s="2">
        <f t="shared" si="3"/>
        <v>140</v>
      </c>
      <c r="E253" t="s">
        <v>7</v>
      </c>
      <c r="G253" s="1">
        <v>45567</v>
      </c>
    </row>
    <row r="254" spans="1:7" x14ac:dyDescent="0.3">
      <c r="A254" t="s">
        <v>233</v>
      </c>
      <c r="B254">
        <v>1</v>
      </c>
      <c r="C254" s="2">
        <v>300</v>
      </c>
      <c r="D254" s="2">
        <f t="shared" si="3"/>
        <v>300</v>
      </c>
      <c r="E254" t="s">
        <v>7</v>
      </c>
      <c r="G254" s="1">
        <v>45567</v>
      </c>
    </row>
    <row r="255" spans="1:7" x14ac:dyDescent="0.3">
      <c r="A255" t="s">
        <v>170</v>
      </c>
      <c r="B255">
        <v>1</v>
      </c>
      <c r="C255" s="2">
        <v>150</v>
      </c>
      <c r="D255" s="2">
        <f t="shared" si="3"/>
        <v>150</v>
      </c>
      <c r="E255" t="s">
        <v>7</v>
      </c>
      <c r="G255" s="1">
        <v>45567</v>
      </c>
    </row>
    <row r="256" spans="1:7" x14ac:dyDescent="0.3">
      <c r="A256" t="s">
        <v>171</v>
      </c>
      <c r="B256">
        <v>1</v>
      </c>
      <c r="C256" s="2">
        <v>120</v>
      </c>
      <c r="D256" s="2">
        <f t="shared" si="3"/>
        <v>120</v>
      </c>
      <c r="E256" t="s">
        <v>7</v>
      </c>
      <c r="G256" s="1">
        <v>45568</v>
      </c>
    </row>
    <row r="257" spans="1:9" x14ac:dyDescent="0.3">
      <c r="A257" t="s">
        <v>162</v>
      </c>
      <c r="B257">
        <v>1</v>
      </c>
      <c r="C257" s="2">
        <v>15</v>
      </c>
      <c r="D257" s="2">
        <f t="shared" si="3"/>
        <v>15</v>
      </c>
      <c r="E257" t="s">
        <v>7</v>
      </c>
      <c r="G257" s="1">
        <v>45568</v>
      </c>
    </row>
    <row r="258" spans="1:9" x14ac:dyDescent="0.3">
      <c r="A258" t="s">
        <v>176</v>
      </c>
      <c r="B258">
        <v>0.2</v>
      </c>
      <c r="C258" s="2">
        <v>400</v>
      </c>
      <c r="D258" s="2">
        <f t="shared" si="3"/>
        <v>80</v>
      </c>
      <c r="E258" t="s">
        <v>7</v>
      </c>
      <c r="G258" s="1">
        <v>45568</v>
      </c>
    </row>
    <row r="259" spans="1:9" x14ac:dyDescent="0.3">
      <c r="A259" t="s">
        <v>190</v>
      </c>
      <c r="B259">
        <v>6</v>
      </c>
      <c r="C259" s="2">
        <v>100</v>
      </c>
      <c r="D259" s="2">
        <f t="shared" ref="D259:D322" si="4">B259*C259</f>
        <v>600</v>
      </c>
      <c r="E259" t="s">
        <v>7</v>
      </c>
      <c r="G259" s="1">
        <v>45568</v>
      </c>
    </row>
    <row r="260" spans="1:9" x14ac:dyDescent="0.3">
      <c r="A260" t="s">
        <v>188</v>
      </c>
      <c r="B260">
        <v>6</v>
      </c>
      <c r="D260" s="2">
        <f t="shared" si="4"/>
        <v>0</v>
      </c>
      <c r="E260" t="s">
        <v>7</v>
      </c>
      <c r="G260" s="1">
        <v>45568</v>
      </c>
    </row>
    <row r="261" spans="1:9" x14ac:dyDescent="0.3">
      <c r="A261" t="s">
        <v>179</v>
      </c>
      <c r="B261">
        <v>1</v>
      </c>
      <c r="C261" s="2">
        <v>300</v>
      </c>
      <c r="D261" s="2">
        <f t="shared" si="4"/>
        <v>300</v>
      </c>
      <c r="E261" t="s">
        <v>7</v>
      </c>
      <c r="F261" t="s">
        <v>17</v>
      </c>
      <c r="G261" s="1">
        <v>45568</v>
      </c>
      <c r="I261">
        <f>SUBTOTAL(9,B18:B1368)</f>
        <v>12062.030000000013</v>
      </c>
    </row>
    <row r="262" spans="1:9" x14ac:dyDescent="0.3">
      <c r="A262" t="s">
        <v>162</v>
      </c>
      <c r="B262">
        <v>1</v>
      </c>
      <c r="C262" s="2">
        <v>15</v>
      </c>
      <c r="D262" s="2">
        <f t="shared" si="4"/>
        <v>15</v>
      </c>
      <c r="E262" t="s">
        <v>7</v>
      </c>
      <c r="G262" s="1">
        <v>45568</v>
      </c>
    </row>
    <row r="263" spans="1:9" x14ac:dyDescent="0.3">
      <c r="A263" t="s">
        <v>173</v>
      </c>
      <c r="B263">
        <v>1</v>
      </c>
      <c r="C263" s="2">
        <v>130</v>
      </c>
      <c r="D263" s="2">
        <f t="shared" si="4"/>
        <v>130</v>
      </c>
      <c r="E263" t="s">
        <v>7</v>
      </c>
      <c r="G263" s="1">
        <v>45568</v>
      </c>
    </row>
    <row r="264" spans="1:9" x14ac:dyDescent="0.3">
      <c r="A264" t="s">
        <v>188</v>
      </c>
      <c r="B264">
        <v>1</v>
      </c>
      <c r="C264" s="2">
        <v>90</v>
      </c>
      <c r="D264" s="2">
        <f t="shared" si="4"/>
        <v>90</v>
      </c>
      <c r="E264" t="s">
        <v>7</v>
      </c>
      <c r="G264" s="1">
        <v>45568</v>
      </c>
    </row>
    <row r="265" spans="1:9" x14ac:dyDescent="0.3">
      <c r="A265" t="s">
        <v>188</v>
      </c>
      <c r="B265">
        <v>1</v>
      </c>
      <c r="C265" s="2">
        <v>80</v>
      </c>
      <c r="D265" s="2">
        <f t="shared" si="4"/>
        <v>80</v>
      </c>
      <c r="E265" t="s">
        <v>7</v>
      </c>
      <c r="G265" s="1">
        <v>45570</v>
      </c>
    </row>
    <row r="266" spans="1:9" x14ac:dyDescent="0.3">
      <c r="A266" t="s">
        <v>190</v>
      </c>
      <c r="B266">
        <v>1</v>
      </c>
      <c r="C266" s="2">
        <v>100</v>
      </c>
      <c r="D266" s="2">
        <f t="shared" si="4"/>
        <v>100</v>
      </c>
      <c r="E266" t="s">
        <v>7</v>
      </c>
      <c r="G266" s="1">
        <v>45570</v>
      </c>
    </row>
    <row r="267" spans="1:9" x14ac:dyDescent="0.3">
      <c r="A267" t="s">
        <v>176</v>
      </c>
      <c r="B267">
        <v>0.2</v>
      </c>
      <c r="C267" s="2">
        <v>400</v>
      </c>
      <c r="D267" s="2">
        <f t="shared" si="4"/>
        <v>80</v>
      </c>
      <c r="E267" t="s">
        <v>7</v>
      </c>
      <c r="G267" s="1">
        <v>45570</v>
      </c>
    </row>
    <row r="268" spans="1:9" x14ac:dyDescent="0.3">
      <c r="A268" t="s">
        <v>174</v>
      </c>
      <c r="B268">
        <v>0.2</v>
      </c>
      <c r="C268" s="2">
        <v>400</v>
      </c>
      <c r="D268" s="2">
        <f t="shared" si="4"/>
        <v>80</v>
      </c>
      <c r="E268" t="s">
        <v>7</v>
      </c>
      <c r="G268" s="1">
        <v>45570</v>
      </c>
    </row>
    <row r="269" spans="1:9" x14ac:dyDescent="0.3">
      <c r="A269" t="s">
        <v>41</v>
      </c>
      <c r="B269">
        <v>1</v>
      </c>
      <c r="C269" s="2">
        <v>45</v>
      </c>
      <c r="D269" s="2">
        <f t="shared" si="4"/>
        <v>45</v>
      </c>
      <c r="E269" t="s">
        <v>7</v>
      </c>
      <c r="G269" s="1">
        <v>45570</v>
      </c>
    </row>
    <row r="270" spans="1:9" x14ac:dyDescent="0.3">
      <c r="A270" t="s">
        <v>215</v>
      </c>
      <c r="B270">
        <v>1</v>
      </c>
      <c r="C270" s="2">
        <v>75</v>
      </c>
      <c r="D270" s="2">
        <f t="shared" si="4"/>
        <v>75</v>
      </c>
      <c r="E270" t="s">
        <v>7</v>
      </c>
      <c r="G270" s="1">
        <v>45570</v>
      </c>
    </row>
    <row r="271" spans="1:9" x14ac:dyDescent="0.3">
      <c r="A271" t="s">
        <v>188</v>
      </c>
      <c r="B271">
        <v>1</v>
      </c>
      <c r="C271" s="2">
        <v>80</v>
      </c>
      <c r="D271" s="2">
        <f t="shared" si="4"/>
        <v>80</v>
      </c>
      <c r="E271" t="s">
        <v>7</v>
      </c>
      <c r="G271" s="1">
        <v>45570</v>
      </c>
    </row>
    <row r="272" spans="1:9" x14ac:dyDescent="0.3">
      <c r="A272" t="s">
        <v>173</v>
      </c>
      <c r="B272">
        <v>1</v>
      </c>
      <c r="C272" s="2">
        <v>100</v>
      </c>
      <c r="D272" s="2">
        <f t="shared" si="4"/>
        <v>100</v>
      </c>
      <c r="E272" t="s">
        <v>7</v>
      </c>
      <c r="G272" s="1">
        <v>45570</v>
      </c>
    </row>
    <row r="273" spans="1:7" x14ac:dyDescent="0.3">
      <c r="A273" t="s">
        <v>162</v>
      </c>
      <c r="B273">
        <v>1</v>
      </c>
      <c r="C273" s="2">
        <v>20</v>
      </c>
      <c r="D273" s="2">
        <f t="shared" si="4"/>
        <v>20</v>
      </c>
      <c r="E273" t="s">
        <v>7</v>
      </c>
      <c r="G273" s="1">
        <v>45570</v>
      </c>
    </row>
    <row r="274" spans="1:7" x14ac:dyDescent="0.3">
      <c r="A274" t="s">
        <v>182</v>
      </c>
      <c r="B274">
        <v>1</v>
      </c>
      <c r="C274" s="2">
        <v>180</v>
      </c>
      <c r="D274" s="2">
        <f t="shared" si="4"/>
        <v>180</v>
      </c>
      <c r="E274" t="s">
        <v>7</v>
      </c>
      <c r="G274" s="1">
        <v>45571</v>
      </c>
    </row>
    <row r="275" spans="1:7" x14ac:dyDescent="0.3">
      <c r="A275" t="s">
        <v>173</v>
      </c>
      <c r="B275">
        <v>1</v>
      </c>
      <c r="C275" s="2">
        <v>130</v>
      </c>
      <c r="D275" s="2">
        <f t="shared" si="4"/>
        <v>130</v>
      </c>
      <c r="E275" t="s">
        <v>7</v>
      </c>
      <c r="G275" s="1">
        <v>45571</v>
      </c>
    </row>
    <row r="276" spans="1:7" x14ac:dyDescent="0.3">
      <c r="A276" t="s">
        <v>14</v>
      </c>
      <c r="B276">
        <v>2</v>
      </c>
      <c r="C276" s="2">
        <v>15</v>
      </c>
      <c r="D276" s="2">
        <f t="shared" si="4"/>
        <v>30</v>
      </c>
      <c r="E276" t="s">
        <v>7</v>
      </c>
      <c r="G276" s="1">
        <v>45571</v>
      </c>
    </row>
    <row r="277" spans="1:7" x14ac:dyDescent="0.3">
      <c r="A277" t="s">
        <v>182</v>
      </c>
      <c r="B277">
        <v>1</v>
      </c>
      <c r="C277" s="2">
        <v>200</v>
      </c>
      <c r="D277" s="2">
        <f t="shared" si="4"/>
        <v>200</v>
      </c>
      <c r="E277" t="s">
        <v>7</v>
      </c>
      <c r="G277" s="1">
        <v>45571</v>
      </c>
    </row>
    <row r="278" spans="1:7" x14ac:dyDescent="0.3">
      <c r="A278" t="s">
        <v>176</v>
      </c>
      <c r="B278">
        <v>0.2</v>
      </c>
      <c r="C278" s="2">
        <v>500</v>
      </c>
      <c r="D278" s="2">
        <f t="shared" si="4"/>
        <v>100</v>
      </c>
      <c r="E278" t="s">
        <v>7</v>
      </c>
      <c r="G278" s="1">
        <v>45571</v>
      </c>
    </row>
    <row r="279" spans="1:7" x14ac:dyDescent="0.3">
      <c r="A279" t="s">
        <v>233</v>
      </c>
      <c r="B279">
        <v>1</v>
      </c>
      <c r="C279" s="2">
        <v>370</v>
      </c>
      <c r="D279" s="2">
        <f t="shared" si="4"/>
        <v>370</v>
      </c>
      <c r="E279" t="s">
        <v>7</v>
      </c>
      <c r="G279" s="1">
        <v>45571</v>
      </c>
    </row>
    <row r="280" spans="1:7" x14ac:dyDescent="0.3">
      <c r="A280" t="s">
        <v>182</v>
      </c>
      <c r="B280">
        <v>1</v>
      </c>
      <c r="C280" s="2">
        <v>200</v>
      </c>
      <c r="D280" s="2">
        <f t="shared" si="4"/>
        <v>200</v>
      </c>
      <c r="E280" t="s">
        <v>7</v>
      </c>
      <c r="G280" s="1">
        <v>45572</v>
      </c>
    </row>
    <row r="281" spans="1:7" x14ac:dyDescent="0.3">
      <c r="A281" t="s">
        <v>162</v>
      </c>
      <c r="B281">
        <v>3</v>
      </c>
      <c r="C281" s="2">
        <v>10</v>
      </c>
      <c r="D281" s="2">
        <f t="shared" si="4"/>
        <v>30</v>
      </c>
      <c r="E281" t="s">
        <v>7</v>
      </c>
      <c r="G281" s="1">
        <v>45572</v>
      </c>
    </row>
    <row r="282" spans="1:7" x14ac:dyDescent="0.3">
      <c r="A282" t="s">
        <v>188</v>
      </c>
      <c r="B282">
        <v>2</v>
      </c>
      <c r="C282" s="2">
        <v>100</v>
      </c>
      <c r="D282" s="2">
        <f t="shared" si="4"/>
        <v>200</v>
      </c>
      <c r="E282" t="s">
        <v>7</v>
      </c>
      <c r="G282" s="1">
        <v>45572</v>
      </c>
    </row>
    <row r="283" spans="1:7" x14ac:dyDescent="0.3">
      <c r="A283" t="s">
        <v>41</v>
      </c>
      <c r="B283">
        <v>1</v>
      </c>
      <c r="C283" s="2">
        <v>45</v>
      </c>
      <c r="D283" s="2">
        <f t="shared" si="4"/>
        <v>45</v>
      </c>
      <c r="E283" t="s">
        <v>7</v>
      </c>
      <c r="G283" s="1">
        <v>45573</v>
      </c>
    </row>
    <row r="284" spans="1:7" x14ac:dyDescent="0.3">
      <c r="A284" t="s">
        <v>14</v>
      </c>
      <c r="B284">
        <v>3</v>
      </c>
      <c r="C284" s="2">
        <v>15</v>
      </c>
      <c r="D284" s="2">
        <f t="shared" si="4"/>
        <v>45</v>
      </c>
      <c r="E284" t="s">
        <v>7</v>
      </c>
      <c r="G284" s="1">
        <v>45573</v>
      </c>
    </row>
    <row r="285" spans="1:7" x14ac:dyDescent="0.3">
      <c r="A285" t="s">
        <v>182</v>
      </c>
      <c r="B285">
        <v>1</v>
      </c>
      <c r="C285" s="2">
        <v>150</v>
      </c>
      <c r="D285" s="2">
        <f t="shared" si="4"/>
        <v>150</v>
      </c>
      <c r="E285" t="s">
        <v>7</v>
      </c>
      <c r="G285" s="1">
        <v>45573</v>
      </c>
    </row>
    <row r="286" spans="1:7" x14ac:dyDescent="0.3">
      <c r="A286" t="s">
        <v>178</v>
      </c>
      <c r="B286">
        <v>1</v>
      </c>
      <c r="C286" s="2">
        <v>110</v>
      </c>
      <c r="D286" s="2">
        <f t="shared" si="4"/>
        <v>110</v>
      </c>
      <c r="E286" t="s">
        <v>7</v>
      </c>
      <c r="G286" s="1">
        <v>45573</v>
      </c>
    </row>
    <row r="287" spans="1:7" x14ac:dyDescent="0.3">
      <c r="A287" t="s">
        <v>162</v>
      </c>
      <c r="B287">
        <v>2</v>
      </c>
      <c r="C287" s="2">
        <v>15</v>
      </c>
      <c r="D287" s="2">
        <f t="shared" si="4"/>
        <v>30</v>
      </c>
      <c r="E287" t="s">
        <v>7</v>
      </c>
      <c r="G287" s="1">
        <v>45573</v>
      </c>
    </row>
    <row r="288" spans="1:7" x14ac:dyDescent="0.3">
      <c r="A288" t="s">
        <v>162</v>
      </c>
      <c r="B288">
        <v>1</v>
      </c>
      <c r="C288" s="2">
        <v>20</v>
      </c>
      <c r="D288" s="2">
        <f t="shared" si="4"/>
        <v>20</v>
      </c>
      <c r="E288" t="s">
        <v>7</v>
      </c>
      <c r="G288" s="1">
        <v>45573</v>
      </c>
    </row>
    <row r="289" spans="1:9" x14ac:dyDescent="0.3">
      <c r="A289" t="s">
        <v>95</v>
      </c>
      <c r="B289">
        <v>1</v>
      </c>
      <c r="C289" s="2">
        <v>250</v>
      </c>
      <c r="D289" s="2">
        <f t="shared" si="4"/>
        <v>250</v>
      </c>
      <c r="E289" t="s">
        <v>7</v>
      </c>
      <c r="G289" s="1">
        <v>45573</v>
      </c>
    </row>
    <row r="290" spans="1:9" x14ac:dyDescent="0.3">
      <c r="A290" t="s">
        <v>170</v>
      </c>
      <c r="B290">
        <v>1</v>
      </c>
      <c r="C290" s="2">
        <v>150</v>
      </c>
      <c r="D290" s="2">
        <f t="shared" si="4"/>
        <v>150</v>
      </c>
      <c r="E290" t="s">
        <v>7</v>
      </c>
      <c r="G290" s="1">
        <v>45573</v>
      </c>
      <c r="I290">
        <f>SUBTOTAL(9,B255:B1420)</f>
        <v>12054.930000000011</v>
      </c>
    </row>
    <row r="291" spans="1:9" x14ac:dyDescent="0.3">
      <c r="A291" t="s">
        <v>14</v>
      </c>
      <c r="B291">
        <v>4</v>
      </c>
      <c r="C291" s="2">
        <v>15</v>
      </c>
      <c r="D291" s="2">
        <f t="shared" si="4"/>
        <v>60</v>
      </c>
      <c r="E291" t="s">
        <v>7</v>
      </c>
      <c r="G291" s="1">
        <v>45573</v>
      </c>
    </row>
    <row r="292" spans="1:9" x14ac:dyDescent="0.3">
      <c r="A292" t="s">
        <v>191</v>
      </c>
      <c r="B292">
        <v>1</v>
      </c>
      <c r="C292" s="2">
        <v>450</v>
      </c>
      <c r="D292" s="2">
        <f t="shared" si="4"/>
        <v>450</v>
      </c>
      <c r="E292" t="s">
        <v>7</v>
      </c>
      <c r="G292" s="1">
        <v>45573</v>
      </c>
    </row>
    <row r="293" spans="1:9" x14ac:dyDescent="0.3">
      <c r="A293" t="s">
        <v>176</v>
      </c>
      <c r="B293">
        <v>0.6</v>
      </c>
      <c r="C293" s="2">
        <v>500</v>
      </c>
      <c r="D293" s="2">
        <f t="shared" si="4"/>
        <v>300</v>
      </c>
      <c r="E293" t="s">
        <v>7</v>
      </c>
      <c r="G293" s="1">
        <v>45573</v>
      </c>
    </row>
    <row r="294" spans="1:9" x14ac:dyDescent="0.3">
      <c r="A294" t="s">
        <v>162</v>
      </c>
      <c r="B294">
        <v>1</v>
      </c>
      <c r="C294" s="2">
        <v>20</v>
      </c>
      <c r="D294" s="2">
        <f t="shared" si="4"/>
        <v>20</v>
      </c>
      <c r="E294" t="s">
        <v>7</v>
      </c>
      <c r="G294" s="1">
        <v>45573</v>
      </c>
    </row>
    <row r="295" spans="1:9" x14ac:dyDescent="0.3">
      <c r="A295" t="s">
        <v>13</v>
      </c>
      <c r="B295">
        <v>1</v>
      </c>
      <c r="C295" s="2">
        <v>250</v>
      </c>
      <c r="D295" s="2">
        <f t="shared" si="4"/>
        <v>250</v>
      </c>
      <c r="E295" t="s">
        <v>7</v>
      </c>
      <c r="F295" t="s">
        <v>49</v>
      </c>
      <c r="G295" s="1">
        <v>45573</v>
      </c>
    </row>
    <row r="296" spans="1:9" x14ac:dyDescent="0.3">
      <c r="A296" t="s">
        <v>182</v>
      </c>
      <c r="B296">
        <v>1</v>
      </c>
      <c r="C296" s="2">
        <v>200</v>
      </c>
      <c r="D296" s="2">
        <f t="shared" si="4"/>
        <v>200</v>
      </c>
      <c r="E296" t="s">
        <v>7</v>
      </c>
      <c r="G296" s="1">
        <v>45573</v>
      </c>
    </row>
    <row r="297" spans="1:9" x14ac:dyDescent="0.3">
      <c r="A297" t="s">
        <v>184</v>
      </c>
      <c r="B297">
        <v>1</v>
      </c>
      <c r="C297" s="2">
        <v>30</v>
      </c>
      <c r="D297" s="2">
        <f t="shared" si="4"/>
        <v>30</v>
      </c>
      <c r="E297" t="s">
        <v>7</v>
      </c>
      <c r="G297" s="1">
        <v>45574</v>
      </c>
    </row>
    <row r="298" spans="1:9" x14ac:dyDescent="0.3">
      <c r="A298" t="s">
        <v>162</v>
      </c>
      <c r="B298">
        <v>1</v>
      </c>
      <c r="C298" s="2">
        <v>15</v>
      </c>
      <c r="D298" s="2">
        <f t="shared" si="4"/>
        <v>15</v>
      </c>
      <c r="E298" t="s">
        <v>7</v>
      </c>
      <c r="G298" s="1">
        <v>45574</v>
      </c>
    </row>
    <row r="299" spans="1:9" x14ac:dyDescent="0.3">
      <c r="A299" t="s">
        <v>190</v>
      </c>
      <c r="B299">
        <v>1</v>
      </c>
      <c r="C299" s="2">
        <v>100</v>
      </c>
      <c r="D299" s="2">
        <f t="shared" si="4"/>
        <v>100</v>
      </c>
      <c r="E299" t="s">
        <v>7</v>
      </c>
      <c r="G299" s="1">
        <v>45574</v>
      </c>
    </row>
    <row r="300" spans="1:9" x14ac:dyDescent="0.3">
      <c r="A300" t="s">
        <v>188</v>
      </c>
      <c r="B300">
        <v>1</v>
      </c>
      <c r="C300" s="2">
        <v>100</v>
      </c>
      <c r="D300" s="2">
        <f t="shared" si="4"/>
        <v>100</v>
      </c>
      <c r="E300" t="s">
        <v>7</v>
      </c>
      <c r="G300" s="1">
        <v>45574</v>
      </c>
    </row>
    <row r="301" spans="1:9" x14ac:dyDescent="0.3">
      <c r="A301" t="s">
        <v>182</v>
      </c>
      <c r="B301">
        <v>1</v>
      </c>
      <c r="C301" s="2">
        <v>200</v>
      </c>
      <c r="D301" s="2">
        <f t="shared" si="4"/>
        <v>200</v>
      </c>
      <c r="E301" t="s">
        <v>7</v>
      </c>
      <c r="G301" s="1">
        <v>45574</v>
      </c>
    </row>
    <row r="302" spans="1:9" x14ac:dyDescent="0.3">
      <c r="A302" t="s">
        <v>207</v>
      </c>
      <c r="B302">
        <v>1</v>
      </c>
      <c r="C302" s="2">
        <v>230</v>
      </c>
      <c r="D302" s="2">
        <f t="shared" si="4"/>
        <v>230</v>
      </c>
      <c r="E302" t="s">
        <v>7</v>
      </c>
      <c r="F302" t="s">
        <v>49</v>
      </c>
      <c r="G302" s="1">
        <v>45574</v>
      </c>
    </row>
    <row r="303" spans="1:9" x14ac:dyDescent="0.3">
      <c r="A303" t="s">
        <v>196</v>
      </c>
      <c r="B303">
        <v>1</v>
      </c>
      <c r="C303" s="2">
        <v>300</v>
      </c>
      <c r="D303" s="2">
        <f t="shared" si="4"/>
        <v>300</v>
      </c>
      <c r="E303" t="s">
        <v>7</v>
      </c>
      <c r="F303" t="s">
        <v>17</v>
      </c>
      <c r="G303" s="1">
        <v>45574</v>
      </c>
    </row>
    <row r="304" spans="1:9" x14ac:dyDescent="0.3">
      <c r="A304" t="s">
        <v>39</v>
      </c>
      <c r="B304">
        <v>1</v>
      </c>
      <c r="C304" s="2">
        <v>70</v>
      </c>
      <c r="D304" s="2">
        <f t="shared" si="4"/>
        <v>70</v>
      </c>
      <c r="E304" t="s">
        <v>7</v>
      </c>
      <c r="G304" s="1">
        <v>45574</v>
      </c>
    </row>
    <row r="305" spans="1:9" x14ac:dyDescent="0.3">
      <c r="A305" t="s">
        <v>162</v>
      </c>
      <c r="B305">
        <v>1</v>
      </c>
      <c r="C305" s="2">
        <v>20</v>
      </c>
      <c r="D305" s="2">
        <f t="shared" si="4"/>
        <v>20</v>
      </c>
      <c r="E305" t="s">
        <v>7</v>
      </c>
      <c r="G305" s="1">
        <v>45574</v>
      </c>
    </row>
    <row r="306" spans="1:9" x14ac:dyDescent="0.3">
      <c r="A306" t="s">
        <v>194</v>
      </c>
      <c r="B306">
        <v>5</v>
      </c>
      <c r="C306" s="2">
        <v>1300</v>
      </c>
      <c r="D306" s="2">
        <f t="shared" si="4"/>
        <v>6500</v>
      </c>
      <c r="E306" t="s">
        <v>60</v>
      </c>
      <c r="F306" t="s">
        <v>17</v>
      </c>
      <c r="G306" s="1">
        <v>45570</v>
      </c>
    </row>
    <row r="307" spans="1:9" x14ac:dyDescent="0.3">
      <c r="A307" t="s">
        <v>195</v>
      </c>
      <c r="B307">
        <v>5</v>
      </c>
      <c r="C307" s="2">
        <v>1450</v>
      </c>
      <c r="D307" s="2">
        <f t="shared" si="4"/>
        <v>7250</v>
      </c>
      <c r="E307" t="s">
        <v>60</v>
      </c>
      <c r="F307" t="s">
        <v>17</v>
      </c>
      <c r="G307" s="1">
        <v>45570</v>
      </c>
    </row>
    <row r="308" spans="1:9" x14ac:dyDescent="0.3">
      <c r="A308" t="s">
        <v>185</v>
      </c>
      <c r="B308">
        <v>5</v>
      </c>
      <c r="C308" s="2">
        <v>1250</v>
      </c>
      <c r="D308" s="2">
        <f t="shared" si="4"/>
        <v>6250</v>
      </c>
      <c r="E308" t="s">
        <v>60</v>
      </c>
      <c r="F308" t="s">
        <v>17</v>
      </c>
      <c r="G308" s="1">
        <v>45570</v>
      </c>
    </row>
    <row r="309" spans="1:9" x14ac:dyDescent="0.3">
      <c r="A309" t="s">
        <v>205</v>
      </c>
      <c r="B309">
        <v>4</v>
      </c>
      <c r="C309" s="2">
        <v>500</v>
      </c>
      <c r="D309" s="2">
        <f t="shared" si="4"/>
        <v>2000</v>
      </c>
      <c r="E309" t="s">
        <v>60</v>
      </c>
      <c r="F309" t="s">
        <v>17</v>
      </c>
      <c r="G309" s="1">
        <v>45570</v>
      </c>
    </row>
    <row r="310" spans="1:9" x14ac:dyDescent="0.3">
      <c r="A310" t="s">
        <v>176</v>
      </c>
      <c r="B310">
        <v>3</v>
      </c>
      <c r="C310" s="2">
        <v>800</v>
      </c>
      <c r="D310" s="2">
        <f t="shared" si="4"/>
        <v>2400</v>
      </c>
      <c r="E310" t="s">
        <v>60</v>
      </c>
      <c r="F310" t="s">
        <v>17</v>
      </c>
      <c r="G310" s="1">
        <v>45570</v>
      </c>
    </row>
    <row r="311" spans="1:9" x14ac:dyDescent="0.3">
      <c r="A311" t="s">
        <v>174</v>
      </c>
      <c r="B311">
        <v>3</v>
      </c>
      <c r="C311" s="2">
        <v>800</v>
      </c>
      <c r="D311" s="2">
        <f t="shared" si="4"/>
        <v>2400</v>
      </c>
      <c r="E311" t="s">
        <v>60</v>
      </c>
      <c r="F311" t="s">
        <v>17</v>
      </c>
      <c r="G311" s="1">
        <v>45570</v>
      </c>
    </row>
    <row r="312" spans="1:9" x14ac:dyDescent="0.3">
      <c r="A312" t="s">
        <v>182</v>
      </c>
      <c r="B312">
        <v>4</v>
      </c>
      <c r="C312" s="2">
        <v>350</v>
      </c>
      <c r="D312" s="2">
        <f t="shared" si="4"/>
        <v>1400</v>
      </c>
      <c r="E312" t="s">
        <v>60</v>
      </c>
      <c r="F312" t="s">
        <v>17</v>
      </c>
      <c r="G312" s="1">
        <v>45570</v>
      </c>
    </row>
    <row r="313" spans="1:9" x14ac:dyDescent="0.3">
      <c r="A313" t="s">
        <v>221</v>
      </c>
      <c r="B313">
        <v>4</v>
      </c>
      <c r="C313" s="2">
        <v>1450</v>
      </c>
      <c r="D313" s="2">
        <f t="shared" si="4"/>
        <v>5800</v>
      </c>
      <c r="E313" t="s">
        <v>60</v>
      </c>
      <c r="F313" t="s">
        <v>17</v>
      </c>
      <c r="G313" s="1">
        <v>45570</v>
      </c>
    </row>
    <row r="314" spans="1:9" x14ac:dyDescent="0.3">
      <c r="A314" t="s">
        <v>195</v>
      </c>
      <c r="B314">
        <v>30</v>
      </c>
      <c r="C314" s="2">
        <v>1335</v>
      </c>
      <c r="D314" s="2">
        <f t="shared" si="4"/>
        <v>40050</v>
      </c>
      <c r="E314" t="s">
        <v>62</v>
      </c>
      <c r="F314" t="s">
        <v>17</v>
      </c>
      <c r="G314" s="1">
        <v>45571</v>
      </c>
    </row>
    <row r="315" spans="1:9" x14ac:dyDescent="0.3">
      <c r="A315" t="s">
        <v>194</v>
      </c>
      <c r="B315">
        <v>30</v>
      </c>
      <c r="C315" s="2">
        <v>1050</v>
      </c>
      <c r="D315" s="2">
        <f t="shared" si="4"/>
        <v>31500</v>
      </c>
      <c r="E315" t="s">
        <v>62</v>
      </c>
      <c r="F315" t="s">
        <v>17</v>
      </c>
      <c r="G315" s="1">
        <v>45571</v>
      </c>
    </row>
    <row r="316" spans="1:9" x14ac:dyDescent="0.3">
      <c r="A316" t="s">
        <v>53</v>
      </c>
      <c r="B316">
        <v>14</v>
      </c>
      <c r="C316" s="2">
        <v>1050</v>
      </c>
      <c r="D316" s="2">
        <f t="shared" si="4"/>
        <v>14700</v>
      </c>
      <c r="E316" t="s">
        <v>62</v>
      </c>
      <c r="F316" t="s">
        <v>17</v>
      </c>
      <c r="G316" s="1">
        <v>45571</v>
      </c>
    </row>
    <row r="317" spans="1:9" x14ac:dyDescent="0.3">
      <c r="A317" t="s">
        <v>63</v>
      </c>
      <c r="B317">
        <v>14</v>
      </c>
      <c r="C317" s="2">
        <v>1100</v>
      </c>
      <c r="D317" s="2">
        <f t="shared" si="4"/>
        <v>15400</v>
      </c>
      <c r="E317" t="s">
        <v>62</v>
      </c>
      <c r="F317" t="s">
        <v>17</v>
      </c>
      <c r="G317" s="1">
        <v>45571</v>
      </c>
    </row>
    <row r="318" spans="1:9" x14ac:dyDescent="0.3">
      <c r="A318" t="s">
        <v>221</v>
      </c>
      <c r="B318">
        <v>30</v>
      </c>
      <c r="C318" s="2">
        <v>1290</v>
      </c>
      <c r="D318" s="2">
        <f t="shared" si="4"/>
        <v>38700</v>
      </c>
      <c r="E318" t="s">
        <v>62</v>
      </c>
      <c r="F318" t="s">
        <v>17</v>
      </c>
      <c r="G318" s="1">
        <v>45571</v>
      </c>
      <c r="I318">
        <f>SUBTOTAL(9,B313:B1390)</f>
        <v>11921.230000000007</v>
      </c>
    </row>
    <row r="319" spans="1:9" x14ac:dyDescent="0.3">
      <c r="A319" t="s">
        <v>176</v>
      </c>
      <c r="B319">
        <v>10</v>
      </c>
      <c r="C319" s="2">
        <v>410</v>
      </c>
      <c r="D319" s="2">
        <f t="shared" si="4"/>
        <v>4100</v>
      </c>
      <c r="E319" t="s">
        <v>62</v>
      </c>
      <c r="F319" t="s">
        <v>17</v>
      </c>
      <c r="G319" s="1">
        <v>45571</v>
      </c>
    </row>
    <row r="320" spans="1:9" x14ac:dyDescent="0.3">
      <c r="A320" t="s">
        <v>174</v>
      </c>
      <c r="B320">
        <v>100</v>
      </c>
      <c r="C320" s="2">
        <v>480</v>
      </c>
      <c r="D320" s="2">
        <f t="shared" si="4"/>
        <v>48000</v>
      </c>
      <c r="E320" t="s">
        <v>62</v>
      </c>
      <c r="F320" t="s">
        <v>17</v>
      </c>
      <c r="G320" s="1">
        <v>45571</v>
      </c>
    </row>
    <row r="321" spans="1:10" x14ac:dyDescent="0.3">
      <c r="A321" t="s">
        <v>191</v>
      </c>
      <c r="B321">
        <v>100</v>
      </c>
      <c r="C321" s="2">
        <v>480</v>
      </c>
      <c r="D321" s="2">
        <f t="shared" si="4"/>
        <v>48000</v>
      </c>
      <c r="E321" t="s">
        <v>62</v>
      </c>
      <c r="F321" t="s">
        <v>17</v>
      </c>
      <c r="G321" s="1">
        <v>45571</v>
      </c>
    </row>
    <row r="322" spans="1:10" x14ac:dyDescent="0.3">
      <c r="A322" t="s">
        <v>203</v>
      </c>
      <c r="B322">
        <v>100</v>
      </c>
      <c r="C322" s="2">
        <v>205</v>
      </c>
      <c r="D322" s="2">
        <f t="shared" si="4"/>
        <v>20500</v>
      </c>
      <c r="E322" t="s">
        <v>62</v>
      </c>
      <c r="F322" t="s">
        <v>17</v>
      </c>
      <c r="G322" s="1">
        <v>45571</v>
      </c>
    </row>
    <row r="323" spans="1:10" x14ac:dyDescent="0.3">
      <c r="A323" t="s">
        <v>64</v>
      </c>
      <c r="B323">
        <v>24</v>
      </c>
      <c r="C323" s="2">
        <v>250</v>
      </c>
      <c r="D323" s="2">
        <f t="shared" ref="D323:D386" si="5">B323*C323</f>
        <v>6000</v>
      </c>
      <c r="E323" t="s">
        <v>62</v>
      </c>
      <c r="F323" t="s">
        <v>17</v>
      </c>
      <c r="G323" s="1">
        <v>45571</v>
      </c>
    </row>
    <row r="324" spans="1:10" x14ac:dyDescent="0.3">
      <c r="A324" t="s">
        <v>65</v>
      </c>
      <c r="B324">
        <v>24</v>
      </c>
      <c r="C324" s="2">
        <v>290</v>
      </c>
      <c r="D324" s="2">
        <f t="shared" si="5"/>
        <v>6960</v>
      </c>
      <c r="E324" t="s">
        <v>62</v>
      </c>
      <c r="F324" t="s">
        <v>17</v>
      </c>
      <c r="G324" s="1">
        <v>45571</v>
      </c>
      <c r="J324">
        <f>SUBTOTAL(9,B:B)</f>
        <v>13016.180000000015</v>
      </c>
    </row>
    <row r="325" spans="1:10" x14ac:dyDescent="0.3">
      <c r="A325" t="s">
        <v>215</v>
      </c>
      <c r="B325">
        <v>100</v>
      </c>
      <c r="C325" s="2">
        <v>60</v>
      </c>
      <c r="D325" s="2">
        <f t="shared" si="5"/>
        <v>6000</v>
      </c>
      <c r="E325" t="s">
        <v>62</v>
      </c>
      <c r="F325" t="s">
        <v>17</v>
      </c>
      <c r="G325" s="1">
        <v>45571</v>
      </c>
    </row>
    <row r="326" spans="1:10" x14ac:dyDescent="0.3">
      <c r="A326" t="s">
        <v>66</v>
      </c>
      <c r="B326">
        <v>10</v>
      </c>
      <c r="C326" s="2">
        <v>2400</v>
      </c>
      <c r="D326" s="2">
        <f t="shared" si="5"/>
        <v>24000</v>
      </c>
      <c r="E326" t="s">
        <v>62</v>
      </c>
      <c r="F326" t="s">
        <v>17</v>
      </c>
      <c r="G326" s="1">
        <v>45571</v>
      </c>
    </row>
    <row r="327" spans="1:10" x14ac:dyDescent="0.3">
      <c r="A327" t="s">
        <v>185</v>
      </c>
      <c r="B327">
        <v>30</v>
      </c>
      <c r="C327" s="2">
        <v>670</v>
      </c>
      <c r="D327" s="2">
        <f t="shared" si="5"/>
        <v>20100</v>
      </c>
      <c r="E327" t="s">
        <v>62</v>
      </c>
      <c r="F327" t="s">
        <v>17</v>
      </c>
      <c r="G327" s="1">
        <v>45571</v>
      </c>
    </row>
    <row r="328" spans="1:10" x14ac:dyDescent="0.3">
      <c r="A328" t="s">
        <v>45</v>
      </c>
      <c r="B328">
        <v>19</v>
      </c>
      <c r="C328" s="2">
        <v>1400</v>
      </c>
      <c r="D328" s="2">
        <f t="shared" si="5"/>
        <v>26600</v>
      </c>
      <c r="E328" t="s">
        <v>62</v>
      </c>
      <c r="F328" t="s">
        <v>17</v>
      </c>
      <c r="G328" s="1">
        <v>45571</v>
      </c>
    </row>
    <row r="329" spans="1:10" x14ac:dyDescent="0.3">
      <c r="A329" t="s">
        <v>67</v>
      </c>
      <c r="B329">
        <v>80</v>
      </c>
      <c r="C329" s="2">
        <v>600</v>
      </c>
      <c r="D329" s="2">
        <f t="shared" si="5"/>
        <v>48000</v>
      </c>
      <c r="E329" t="s">
        <v>62</v>
      </c>
      <c r="F329" t="s">
        <v>17</v>
      </c>
      <c r="G329" s="1">
        <v>45571</v>
      </c>
    </row>
    <row r="330" spans="1:10" x14ac:dyDescent="0.3">
      <c r="A330" t="s">
        <v>182</v>
      </c>
      <c r="B330">
        <v>79</v>
      </c>
      <c r="C330" s="2">
        <v>115</v>
      </c>
      <c r="D330" s="2">
        <f t="shared" si="5"/>
        <v>9085</v>
      </c>
      <c r="E330" t="s">
        <v>62</v>
      </c>
      <c r="F330" t="s">
        <v>17</v>
      </c>
      <c r="G330" s="1">
        <v>45571</v>
      </c>
    </row>
    <row r="331" spans="1:10" x14ac:dyDescent="0.3">
      <c r="A331" t="s">
        <v>233</v>
      </c>
      <c r="B331">
        <v>20</v>
      </c>
      <c r="C331" s="2">
        <v>230</v>
      </c>
      <c r="D331" s="2">
        <f t="shared" si="5"/>
        <v>4600</v>
      </c>
      <c r="E331" t="s">
        <v>62</v>
      </c>
      <c r="F331" t="s">
        <v>17</v>
      </c>
      <c r="G331" s="1">
        <v>45571</v>
      </c>
    </row>
    <row r="332" spans="1:10" x14ac:dyDescent="0.3">
      <c r="A332" t="s">
        <v>171</v>
      </c>
      <c r="B332">
        <v>40</v>
      </c>
      <c r="C332" s="2">
        <v>115</v>
      </c>
      <c r="D332" s="2">
        <f t="shared" si="5"/>
        <v>4600</v>
      </c>
      <c r="E332" t="s">
        <v>62</v>
      </c>
      <c r="F332" t="s">
        <v>17</v>
      </c>
      <c r="G332" s="1">
        <v>45571</v>
      </c>
    </row>
    <row r="333" spans="1:10" x14ac:dyDescent="0.3">
      <c r="A333" t="s">
        <v>170</v>
      </c>
      <c r="B333">
        <v>40</v>
      </c>
      <c r="C333" s="2">
        <v>230</v>
      </c>
      <c r="D333" s="2">
        <f t="shared" si="5"/>
        <v>9200</v>
      </c>
      <c r="E333" t="s">
        <v>62</v>
      </c>
      <c r="F333" t="s">
        <v>17</v>
      </c>
      <c r="G333" s="1">
        <v>45571</v>
      </c>
    </row>
    <row r="334" spans="1:10" x14ac:dyDescent="0.3">
      <c r="A334" t="s">
        <v>190</v>
      </c>
      <c r="B334">
        <v>70</v>
      </c>
      <c r="C334" s="2">
        <v>145</v>
      </c>
      <c r="D334" s="2">
        <f t="shared" si="5"/>
        <v>10150</v>
      </c>
      <c r="E334" t="s">
        <v>62</v>
      </c>
      <c r="F334" t="s">
        <v>17</v>
      </c>
      <c r="G334" s="1">
        <v>45571</v>
      </c>
    </row>
    <row r="335" spans="1:10" x14ac:dyDescent="0.3">
      <c r="A335" t="s">
        <v>187</v>
      </c>
      <c r="B335">
        <v>84</v>
      </c>
      <c r="C335" s="2">
        <v>160</v>
      </c>
      <c r="D335" s="2">
        <f t="shared" si="5"/>
        <v>13440</v>
      </c>
      <c r="E335" t="s">
        <v>62</v>
      </c>
      <c r="F335" t="s">
        <v>17</v>
      </c>
      <c r="G335" s="1">
        <v>45571</v>
      </c>
      <c r="I335">
        <f>SUBTOTAL(9,B32:B1371)</f>
        <v>12022.030000000013</v>
      </c>
    </row>
    <row r="336" spans="1:10" x14ac:dyDescent="0.3">
      <c r="A336" t="s">
        <v>181</v>
      </c>
      <c r="B336">
        <v>40</v>
      </c>
      <c r="C336" s="2">
        <v>85</v>
      </c>
      <c r="D336" s="2">
        <f t="shared" si="5"/>
        <v>3400</v>
      </c>
      <c r="E336" t="s">
        <v>62</v>
      </c>
      <c r="F336" t="s">
        <v>17</v>
      </c>
      <c r="G336" s="1">
        <v>45571</v>
      </c>
    </row>
    <row r="337" spans="1:9" x14ac:dyDescent="0.3">
      <c r="A337" t="s">
        <v>178</v>
      </c>
      <c r="B337">
        <v>180</v>
      </c>
      <c r="C337" s="2">
        <v>90</v>
      </c>
      <c r="D337" s="2">
        <f t="shared" si="5"/>
        <v>16200</v>
      </c>
      <c r="E337" t="s">
        <v>62</v>
      </c>
      <c r="F337" t="s">
        <v>17</v>
      </c>
      <c r="G337" s="1">
        <v>45571</v>
      </c>
    </row>
    <row r="338" spans="1:9" x14ac:dyDescent="0.3">
      <c r="A338" t="s">
        <v>13</v>
      </c>
      <c r="B338">
        <v>30</v>
      </c>
      <c r="C338" s="2">
        <v>235</v>
      </c>
      <c r="D338" s="2">
        <f t="shared" si="5"/>
        <v>7050</v>
      </c>
      <c r="E338" t="s">
        <v>62</v>
      </c>
      <c r="F338" t="s">
        <v>17</v>
      </c>
      <c r="G338" s="1">
        <v>45571</v>
      </c>
    </row>
    <row r="339" spans="1:9" x14ac:dyDescent="0.3">
      <c r="A339" t="s">
        <v>179</v>
      </c>
      <c r="B339">
        <v>30</v>
      </c>
      <c r="C339" s="2">
        <v>230</v>
      </c>
      <c r="D339" s="2">
        <f t="shared" si="5"/>
        <v>6900</v>
      </c>
      <c r="E339" t="s">
        <v>62</v>
      </c>
      <c r="F339" t="s">
        <v>17</v>
      </c>
      <c r="G339" s="1">
        <v>45571</v>
      </c>
    </row>
    <row r="340" spans="1:9" x14ac:dyDescent="0.3">
      <c r="A340" t="s">
        <v>201</v>
      </c>
      <c r="B340">
        <v>47</v>
      </c>
      <c r="C340" s="2">
        <v>605</v>
      </c>
      <c r="D340" s="2">
        <f t="shared" si="5"/>
        <v>28435</v>
      </c>
      <c r="E340" t="s">
        <v>62</v>
      </c>
      <c r="F340" t="s">
        <v>17</v>
      </c>
      <c r="G340" s="1">
        <v>45571</v>
      </c>
    </row>
    <row r="341" spans="1:9" x14ac:dyDescent="0.3">
      <c r="A341" t="s">
        <v>48</v>
      </c>
      <c r="B341">
        <v>19</v>
      </c>
      <c r="C341" s="2">
        <v>400</v>
      </c>
      <c r="D341" s="2">
        <f t="shared" si="5"/>
        <v>7600</v>
      </c>
      <c r="E341" t="s">
        <v>62</v>
      </c>
      <c r="F341" t="s">
        <v>17</v>
      </c>
      <c r="G341" s="1">
        <v>45571</v>
      </c>
    </row>
    <row r="342" spans="1:9" x14ac:dyDescent="0.3">
      <c r="A342" t="s">
        <v>68</v>
      </c>
      <c r="B342">
        <v>12</v>
      </c>
      <c r="C342" s="2">
        <v>500</v>
      </c>
      <c r="D342" s="2">
        <f t="shared" si="5"/>
        <v>6000</v>
      </c>
      <c r="E342" t="s">
        <v>62</v>
      </c>
      <c r="F342" t="s">
        <v>17</v>
      </c>
      <c r="G342" s="1">
        <v>45571</v>
      </c>
    </row>
    <row r="343" spans="1:9" x14ac:dyDescent="0.3">
      <c r="A343" t="s">
        <v>69</v>
      </c>
      <c r="B343">
        <v>20</v>
      </c>
      <c r="C343" s="2">
        <v>500</v>
      </c>
      <c r="D343" s="2">
        <f t="shared" si="5"/>
        <v>10000</v>
      </c>
      <c r="E343" t="s">
        <v>62</v>
      </c>
      <c r="F343" t="s">
        <v>17</v>
      </c>
      <c r="G343" s="1">
        <v>45571</v>
      </c>
    </row>
    <row r="344" spans="1:9" x14ac:dyDescent="0.3">
      <c r="A344" t="s">
        <v>70</v>
      </c>
      <c r="B344">
        <v>40</v>
      </c>
      <c r="C344" s="2">
        <v>400</v>
      </c>
      <c r="D344" s="2">
        <f t="shared" si="5"/>
        <v>16000</v>
      </c>
      <c r="E344" t="s">
        <v>62</v>
      </c>
      <c r="F344" t="s">
        <v>17</v>
      </c>
      <c r="G344" s="1">
        <v>45571</v>
      </c>
    </row>
    <row r="345" spans="1:9" x14ac:dyDescent="0.3">
      <c r="A345" t="s">
        <v>180</v>
      </c>
      <c r="B345">
        <v>12</v>
      </c>
      <c r="C345" s="2">
        <v>185</v>
      </c>
      <c r="D345" s="2">
        <f t="shared" si="5"/>
        <v>2220</v>
      </c>
      <c r="E345" t="s">
        <v>62</v>
      </c>
      <c r="F345" t="s">
        <v>17</v>
      </c>
      <c r="G345" s="1">
        <v>45571</v>
      </c>
    </row>
    <row r="346" spans="1:9" x14ac:dyDescent="0.3">
      <c r="A346" t="s">
        <v>209</v>
      </c>
      <c r="B346">
        <v>40</v>
      </c>
      <c r="C346" s="2">
        <v>95</v>
      </c>
      <c r="D346" s="2">
        <f t="shared" si="5"/>
        <v>3800</v>
      </c>
      <c r="E346" t="s">
        <v>62</v>
      </c>
      <c r="F346" t="s">
        <v>17</v>
      </c>
      <c r="G346" s="1">
        <v>45571</v>
      </c>
    </row>
    <row r="347" spans="1:9" x14ac:dyDescent="0.3">
      <c r="A347" t="s">
        <v>208</v>
      </c>
      <c r="B347">
        <v>24</v>
      </c>
      <c r="C347" s="2">
        <v>800</v>
      </c>
      <c r="D347" s="2">
        <f t="shared" si="5"/>
        <v>19200</v>
      </c>
      <c r="E347" t="s">
        <v>62</v>
      </c>
      <c r="F347" t="s">
        <v>17</v>
      </c>
      <c r="G347" s="1">
        <v>45571</v>
      </c>
    </row>
    <row r="348" spans="1:9" x14ac:dyDescent="0.3">
      <c r="A348" t="s">
        <v>193</v>
      </c>
      <c r="B348">
        <v>36</v>
      </c>
      <c r="C348" s="2">
        <v>195</v>
      </c>
      <c r="D348" s="2">
        <f t="shared" si="5"/>
        <v>7020</v>
      </c>
      <c r="E348" t="s">
        <v>62</v>
      </c>
      <c r="F348" t="s">
        <v>17</v>
      </c>
      <c r="G348" s="1">
        <v>45571</v>
      </c>
      <c r="I348">
        <f>SUBTOTAL(9,B30:B1384)</f>
        <v>12571.030000000013</v>
      </c>
    </row>
    <row r="349" spans="1:9" x14ac:dyDescent="0.3">
      <c r="A349" t="s">
        <v>199</v>
      </c>
      <c r="B349">
        <v>36</v>
      </c>
      <c r="C349" s="2">
        <v>270</v>
      </c>
      <c r="D349" s="2">
        <f t="shared" si="5"/>
        <v>9720</v>
      </c>
      <c r="E349" t="s">
        <v>62</v>
      </c>
      <c r="F349" t="s">
        <v>17</v>
      </c>
      <c r="G349" s="1">
        <v>45571</v>
      </c>
    </row>
    <row r="350" spans="1:9" x14ac:dyDescent="0.3">
      <c r="A350" t="s">
        <v>200</v>
      </c>
      <c r="B350">
        <v>24</v>
      </c>
      <c r="C350" s="2">
        <v>220</v>
      </c>
      <c r="D350" s="2">
        <f t="shared" si="5"/>
        <v>5280</v>
      </c>
      <c r="E350" t="s">
        <v>62</v>
      </c>
      <c r="F350" t="s">
        <v>17</v>
      </c>
      <c r="G350" s="1">
        <v>45571</v>
      </c>
    </row>
    <row r="351" spans="1:9" x14ac:dyDescent="0.3">
      <c r="A351" t="s">
        <v>197</v>
      </c>
      <c r="B351">
        <v>36</v>
      </c>
      <c r="C351" s="2">
        <v>190</v>
      </c>
      <c r="D351" s="2">
        <f t="shared" si="5"/>
        <v>6840</v>
      </c>
      <c r="E351" t="s">
        <v>62</v>
      </c>
      <c r="F351" t="s">
        <v>17</v>
      </c>
      <c r="G351" s="1">
        <v>45571</v>
      </c>
    </row>
    <row r="352" spans="1:9" x14ac:dyDescent="0.3">
      <c r="A352" t="s">
        <v>196</v>
      </c>
      <c r="B352">
        <v>24</v>
      </c>
      <c r="C352" s="2">
        <v>210</v>
      </c>
      <c r="D352" s="2">
        <f t="shared" si="5"/>
        <v>5040</v>
      </c>
      <c r="E352" t="s">
        <v>62</v>
      </c>
      <c r="F352" t="s">
        <v>17</v>
      </c>
      <c r="G352" s="1">
        <v>45571</v>
      </c>
    </row>
    <row r="353" spans="1:7" x14ac:dyDescent="0.3">
      <c r="A353" t="s">
        <v>192</v>
      </c>
      <c r="B353">
        <v>24</v>
      </c>
      <c r="C353" s="2">
        <v>250</v>
      </c>
      <c r="D353" s="2">
        <f t="shared" si="5"/>
        <v>6000</v>
      </c>
      <c r="E353" t="s">
        <v>62</v>
      </c>
      <c r="F353" t="s">
        <v>17</v>
      </c>
      <c r="G353" s="1">
        <v>45571</v>
      </c>
    </row>
    <row r="354" spans="1:7" x14ac:dyDescent="0.3">
      <c r="A354" t="s">
        <v>73</v>
      </c>
      <c r="B354">
        <v>36</v>
      </c>
      <c r="C354" s="2">
        <v>250</v>
      </c>
      <c r="D354" s="2">
        <f t="shared" si="5"/>
        <v>9000</v>
      </c>
      <c r="E354" t="s">
        <v>62</v>
      </c>
      <c r="F354" t="s">
        <v>17</v>
      </c>
      <c r="G354" s="1">
        <v>45571</v>
      </c>
    </row>
    <row r="355" spans="1:7" x14ac:dyDescent="0.3">
      <c r="A355" t="s">
        <v>176</v>
      </c>
      <c r="B355">
        <v>0.1</v>
      </c>
      <c r="C355" s="2">
        <v>500</v>
      </c>
      <c r="D355" s="2">
        <f t="shared" si="5"/>
        <v>50</v>
      </c>
      <c r="E355" t="s">
        <v>7</v>
      </c>
      <c r="G355" s="1">
        <v>45575</v>
      </c>
    </row>
    <row r="356" spans="1:7" x14ac:dyDescent="0.3">
      <c r="A356" t="s">
        <v>174</v>
      </c>
      <c r="B356">
        <v>0.1</v>
      </c>
      <c r="C356" s="2">
        <v>500</v>
      </c>
      <c r="D356" s="2">
        <f t="shared" si="5"/>
        <v>50</v>
      </c>
      <c r="E356" t="s">
        <v>7</v>
      </c>
      <c r="G356" s="1">
        <v>45575</v>
      </c>
    </row>
    <row r="357" spans="1:7" x14ac:dyDescent="0.3">
      <c r="A357" t="s">
        <v>190</v>
      </c>
      <c r="B357">
        <v>1</v>
      </c>
      <c r="C357" s="2">
        <v>100</v>
      </c>
      <c r="D357" s="2">
        <f t="shared" si="5"/>
        <v>100</v>
      </c>
      <c r="E357" t="s">
        <v>7</v>
      </c>
      <c r="G357" s="1">
        <v>45575</v>
      </c>
    </row>
    <row r="358" spans="1:7" x14ac:dyDescent="0.3">
      <c r="A358" t="s">
        <v>188</v>
      </c>
      <c r="B358">
        <v>1</v>
      </c>
      <c r="C358" s="2">
        <v>100</v>
      </c>
      <c r="D358" s="2">
        <f t="shared" si="5"/>
        <v>100</v>
      </c>
      <c r="E358" t="s">
        <v>7</v>
      </c>
      <c r="G358" s="1">
        <v>45575</v>
      </c>
    </row>
    <row r="359" spans="1:7" x14ac:dyDescent="0.3">
      <c r="A359" t="s">
        <v>173</v>
      </c>
      <c r="B359">
        <v>1</v>
      </c>
      <c r="C359" s="2">
        <v>100</v>
      </c>
      <c r="D359" s="2">
        <f t="shared" si="5"/>
        <v>100</v>
      </c>
      <c r="E359" t="s">
        <v>7</v>
      </c>
      <c r="G359" s="1">
        <v>45575</v>
      </c>
    </row>
    <row r="360" spans="1:7" x14ac:dyDescent="0.3">
      <c r="A360" t="s">
        <v>215</v>
      </c>
      <c r="B360">
        <v>1</v>
      </c>
      <c r="C360" s="2">
        <v>100</v>
      </c>
      <c r="D360" s="2">
        <f t="shared" si="5"/>
        <v>100</v>
      </c>
      <c r="E360" t="s">
        <v>7</v>
      </c>
      <c r="G360" s="1">
        <v>45575</v>
      </c>
    </row>
    <row r="361" spans="1:7" x14ac:dyDescent="0.3">
      <c r="A361" t="s">
        <v>173</v>
      </c>
      <c r="B361">
        <v>1</v>
      </c>
      <c r="C361" s="2">
        <v>100</v>
      </c>
      <c r="D361" s="2">
        <f t="shared" si="5"/>
        <v>100</v>
      </c>
      <c r="E361" t="s">
        <v>7</v>
      </c>
      <c r="G361" s="1">
        <v>45575</v>
      </c>
    </row>
    <row r="362" spans="1:7" x14ac:dyDescent="0.3">
      <c r="A362" t="s">
        <v>202</v>
      </c>
      <c r="B362">
        <v>1</v>
      </c>
      <c r="C362" s="2">
        <v>100</v>
      </c>
      <c r="D362" s="2">
        <f t="shared" si="5"/>
        <v>100</v>
      </c>
      <c r="E362" t="s">
        <v>7</v>
      </c>
      <c r="G362" s="1">
        <v>45575</v>
      </c>
    </row>
    <row r="363" spans="1:7" x14ac:dyDescent="0.3">
      <c r="A363" t="s">
        <v>187</v>
      </c>
      <c r="B363">
        <v>2</v>
      </c>
      <c r="C363" s="2">
        <v>300</v>
      </c>
      <c r="D363" s="2">
        <f t="shared" si="5"/>
        <v>600</v>
      </c>
      <c r="E363" t="s">
        <v>60</v>
      </c>
      <c r="F363" t="s">
        <v>17</v>
      </c>
      <c r="G363" s="1">
        <v>45575</v>
      </c>
    </row>
    <row r="364" spans="1:7" x14ac:dyDescent="0.3">
      <c r="A364" t="s">
        <v>203</v>
      </c>
      <c r="B364">
        <v>1</v>
      </c>
      <c r="C364" s="2">
        <v>550</v>
      </c>
      <c r="D364" s="2">
        <f t="shared" si="5"/>
        <v>550</v>
      </c>
      <c r="E364" t="s">
        <v>60</v>
      </c>
      <c r="F364" t="s">
        <v>17</v>
      </c>
      <c r="G364" s="1">
        <v>45575</v>
      </c>
    </row>
    <row r="365" spans="1:7" x14ac:dyDescent="0.3">
      <c r="A365" t="s">
        <v>215</v>
      </c>
      <c r="B365">
        <v>8</v>
      </c>
      <c r="C365" s="2">
        <v>200</v>
      </c>
      <c r="D365" s="2">
        <f t="shared" si="5"/>
        <v>1600</v>
      </c>
      <c r="E365" t="s">
        <v>60</v>
      </c>
      <c r="F365" t="s">
        <v>17</v>
      </c>
      <c r="G365" s="1">
        <v>45575</v>
      </c>
    </row>
    <row r="366" spans="1:7" x14ac:dyDescent="0.3">
      <c r="A366" t="s">
        <v>55</v>
      </c>
      <c r="B366">
        <v>1</v>
      </c>
      <c r="C366" s="2">
        <v>1700</v>
      </c>
      <c r="D366" s="2">
        <f t="shared" si="5"/>
        <v>1700</v>
      </c>
      <c r="E366" t="s">
        <v>60</v>
      </c>
      <c r="F366" t="s">
        <v>17</v>
      </c>
      <c r="G366" s="1">
        <v>45575</v>
      </c>
    </row>
    <row r="367" spans="1:7" x14ac:dyDescent="0.3">
      <c r="A367" t="s">
        <v>176</v>
      </c>
      <c r="B367">
        <v>0.2</v>
      </c>
      <c r="C367" s="2">
        <v>500</v>
      </c>
      <c r="D367" s="2">
        <f t="shared" si="5"/>
        <v>100</v>
      </c>
      <c r="E367" t="s">
        <v>7</v>
      </c>
      <c r="G367" s="1">
        <v>45577</v>
      </c>
    </row>
    <row r="368" spans="1:7" x14ac:dyDescent="0.3">
      <c r="A368" t="s">
        <v>182</v>
      </c>
      <c r="B368">
        <v>1</v>
      </c>
      <c r="C368" s="2">
        <v>150</v>
      </c>
      <c r="D368" s="2">
        <f t="shared" si="5"/>
        <v>150</v>
      </c>
      <c r="E368" t="s">
        <v>7</v>
      </c>
      <c r="G368" s="1">
        <v>45577</v>
      </c>
    </row>
    <row r="369" spans="1:9" x14ac:dyDescent="0.3">
      <c r="A369" t="s">
        <v>188</v>
      </c>
      <c r="B369">
        <v>1</v>
      </c>
      <c r="C369" s="2">
        <v>70</v>
      </c>
      <c r="D369" s="2">
        <f t="shared" si="5"/>
        <v>70</v>
      </c>
      <c r="E369" t="s">
        <v>7</v>
      </c>
      <c r="G369" s="1">
        <v>45578</v>
      </c>
    </row>
    <row r="370" spans="1:9" x14ac:dyDescent="0.3">
      <c r="A370" t="s">
        <v>173</v>
      </c>
      <c r="B370">
        <v>1</v>
      </c>
      <c r="C370" s="2">
        <v>100</v>
      </c>
      <c r="D370" s="2">
        <f t="shared" si="5"/>
        <v>100</v>
      </c>
      <c r="E370" t="s">
        <v>7</v>
      </c>
      <c r="G370" s="1">
        <v>45579</v>
      </c>
    </row>
    <row r="371" spans="1:9" x14ac:dyDescent="0.3">
      <c r="A371" t="s">
        <v>202</v>
      </c>
      <c r="B371">
        <v>1</v>
      </c>
      <c r="C371" s="2">
        <v>100</v>
      </c>
      <c r="D371" s="2">
        <f t="shared" si="5"/>
        <v>100</v>
      </c>
      <c r="E371" t="s">
        <v>7</v>
      </c>
      <c r="G371" s="1">
        <v>45579</v>
      </c>
    </row>
    <row r="372" spans="1:9" x14ac:dyDescent="0.3">
      <c r="A372" t="s">
        <v>165</v>
      </c>
      <c r="B372">
        <v>1</v>
      </c>
      <c r="C372" s="2">
        <v>120</v>
      </c>
      <c r="D372" s="2">
        <f t="shared" si="5"/>
        <v>120</v>
      </c>
      <c r="E372" t="s">
        <v>7</v>
      </c>
      <c r="G372" s="1">
        <v>45579</v>
      </c>
    </row>
    <row r="373" spans="1:9" x14ac:dyDescent="0.3">
      <c r="A373" t="s">
        <v>176</v>
      </c>
      <c r="B373">
        <v>0.2</v>
      </c>
      <c r="C373" s="2">
        <v>500</v>
      </c>
      <c r="D373" s="2">
        <f t="shared" si="5"/>
        <v>100</v>
      </c>
      <c r="E373" t="s">
        <v>7</v>
      </c>
      <c r="G373" s="1">
        <v>45579</v>
      </c>
    </row>
    <row r="374" spans="1:9" x14ac:dyDescent="0.3">
      <c r="A374" t="s">
        <v>14</v>
      </c>
      <c r="B374">
        <v>1</v>
      </c>
      <c r="C374" s="2">
        <v>25</v>
      </c>
      <c r="D374" s="2">
        <f t="shared" si="5"/>
        <v>25</v>
      </c>
      <c r="E374" t="s">
        <v>7</v>
      </c>
      <c r="G374" s="1">
        <v>45579</v>
      </c>
    </row>
    <row r="375" spans="1:9" x14ac:dyDescent="0.3">
      <c r="A375" t="s">
        <v>176</v>
      </c>
      <c r="B375">
        <v>0.2</v>
      </c>
      <c r="C375" s="2">
        <v>500</v>
      </c>
      <c r="D375" s="2">
        <f t="shared" si="5"/>
        <v>100</v>
      </c>
      <c r="E375" t="s">
        <v>7</v>
      </c>
      <c r="G375" s="1">
        <v>45579</v>
      </c>
    </row>
    <row r="376" spans="1:9" x14ac:dyDescent="0.3">
      <c r="A376" t="s">
        <v>167</v>
      </c>
      <c r="B376">
        <v>1</v>
      </c>
      <c r="C376" s="2">
        <v>120</v>
      </c>
      <c r="D376" s="2">
        <f t="shared" si="5"/>
        <v>120</v>
      </c>
      <c r="E376" t="s">
        <v>7</v>
      </c>
      <c r="G376" s="1">
        <v>45579</v>
      </c>
      <c r="I376">
        <f>SUBTOTAL(9,B240:B1433)</f>
        <v>12096.930000000011</v>
      </c>
    </row>
    <row r="377" spans="1:9" x14ac:dyDescent="0.3">
      <c r="A377" t="s">
        <v>182</v>
      </c>
      <c r="B377">
        <v>1</v>
      </c>
      <c r="C377" s="2">
        <v>200</v>
      </c>
      <c r="D377" s="2">
        <f t="shared" si="5"/>
        <v>200</v>
      </c>
      <c r="E377" t="s">
        <v>7</v>
      </c>
      <c r="G377" s="1">
        <v>45579</v>
      </c>
    </row>
    <row r="378" spans="1:9" x14ac:dyDescent="0.3">
      <c r="A378" t="s">
        <v>14</v>
      </c>
      <c r="B378">
        <v>20</v>
      </c>
      <c r="C378" s="2">
        <v>15</v>
      </c>
      <c r="D378" s="2">
        <f t="shared" si="5"/>
        <v>300</v>
      </c>
      <c r="E378" t="s">
        <v>7</v>
      </c>
      <c r="G378" s="1">
        <v>45579</v>
      </c>
    </row>
    <row r="379" spans="1:9" x14ac:dyDescent="0.3">
      <c r="A379" t="s">
        <v>171</v>
      </c>
      <c r="B379">
        <v>1</v>
      </c>
      <c r="C379" s="2">
        <v>100</v>
      </c>
      <c r="D379" s="2">
        <f t="shared" si="5"/>
        <v>100</v>
      </c>
      <c r="E379" t="s">
        <v>7</v>
      </c>
      <c r="G379" s="1">
        <v>45579</v>
      </c>
    </row>
    <row r="380" spans="1:9" x14ac:dyDescent="0.3">
      <c r="A380" t="s">
        <v>197</v>
      </c>
      <c r="B380">
        <v>5</v>
      </c>
      <c r="C380" s="2">
        <v>500</v>
      </c>
      <c r="D380" s="2">
        <f t="shared" si="5"/>
        <v>2500</v>
      </c>
      <c r="E380" t="s">
        <v>60</v>
      </c>
      <c r="F380" t="s">
        <v>17</v>
      </c>
      <c r="G380" s="1">
        <v>45580</v>
      </c>
    </row>
    <row r="381" spans="1:9" x14ac:dyDescent="0.3">
      <c r="A381" t="s">
        <v>167</v>
      </c>
      <c r="B381">
        <v>4</v>
      </c>
      <c r="C381" s="2">
        <v>350</v>
      </c>
      <c r="D381" s="2">
        <f t="shared" si="5"/>
        <v>1400</v>
      </c>
      <c r="E381" t="s">
        <v>60</v>
      </c>
      <c r="F381" t="s">
        <v>17</v>
      </c>
      <c r="G381" s="1">
        <v>45580</v>
      </c>
    </row>
    <row r="382" spans="1:9" x14ac:dyDescent="0.3">
      <c r="A382" t="s">
        <v>176</v>
      </c>
      <c r="B382">
        <v>0.4</v>
      </c>
      <c r="C382" s="2">
        <v>800</v>
      </c>
      <c r="D382" s="2">
        <f t="shared" si="5"/>
        <v>320</v>
      </c>
      <c r="E382" t="s">
        <v>60</v>
      </c>
      <c r="F382" t="s">
        <v>17</v>
      </c>
      <c r="G382" s="1">
        <v>45580</v>
      </c>
    </row>
    <row r="383" spans="1:9" x14ac:dyDescent="0.3">
      <c r="A383" t="s">
        <v>194</v>
      </c>
      <c r="B383">
        <v>2</v>
      </c>
      <c r="C383" s="2">
        <v>1300</v>
      </c>
      <c r="D383" s="2">
        <f t="shared" si="5"/>
        <v>2600</v>
      </c>
      <c r="E383" t="s">
        <v>60</v>
      </c>
      <c r="F383" t="s">
        <v>17</v>
      </c>
      <c r="G383" s="1">
        <v>45580</v>
      </c>
    </row>
    <row r="384" spans="1:9" x14ac:dyDescent="0.3">
      <c r="A384" t="s">
        <v>165</v>
      </c>
      <c r="B384">
        <v>2</v>
      </c>
      <c r="C384" s="2">
        <v>200</v>
      </c>
      <c r="D384" s="2">
        <f t="shared" si="5"/>
        <v>400</v>
      </c>
      <c r="E384" t="s">
        <v>60</v>
      </c>
      <c r="F384" t="s">
        <v>17</v>
      </c>
      <c r="G384" s="1">
        <v>45580</v>
      </c>
      <c r="I384">
        <f>SUBTOTAL(9,B372:B1436)</f>
        <v>10193.729999999998</v>
      </c>
    </row>
    <row r="385" spans="1:7" x14ac:dyDescent="0.3">
      <c r="A385" t="s">
        <v>55</v>
      </c>
      <c r="B385">
        <v>2</v>
      </c>
      <c r="C385" s="2">
        <v>1700</v>
      </c>
      <c r="D385" s="2">
        <f t="shared" si="5"/>
        <v>3400</v>
      </c>
      <c r="E385" t="s">
        <v>60</v>
      </c>
      <c r="F385" t="s">
        <v>17</v>
      </c>
      <c r="G385" s="1">
        <v>45580</v>
      </c>
    </row>
    <row r="386" spans="1:7" x14ac:dyDescent="0.3">
      <c r="A386" t="s">
        <v>192</v>
      </c>
      <c r="B386">
        <v>3</v>
      </c>
      <c r="C386" s="2">
        <v>500</v>
      </c>
      <c r="D386" s="2">
        <f t="shared" si="5"/>
        <v>1500</v>
      </c>
      <c r="E386" t="s">
        <v>60</v>
      </c>
      <c r="F386" t="s">
        <v>17</v>
      </c>
      <c r="G386" s="1">
        <v>45580</v>
      </c>
    </row>
    <row r="387" spans="1:7" x14ac:dyDescent="0.3">
      <c r="A387" t="s">
        <v>182</v>
      </c>
      <c r="B387">
        <v>1</v>
      </c>
      <c r="C387" s="2">
        <v>150</v>
      </c>
      <c r="D387" s="2">
        <f t="shared" ref="D387:D450" si="6">B387*C387</f>
        <v>150</v>
      </c>
      <c r="E387" t="s">
        <v>7</v>
      </c>
      <c r="G387" s="1">
        <v>45580</v>
      </c>
    </row>
    <row r="388" spans="1:7" x14ac:dyDescent="0.3">
      <c r="A388" t="s">
        <v>171</v>
      </c>
      <c r="B388">
        <v>1</v>
      </c>
      <c r="C388" s="2">
        <v>150</v>
      </c>
      <c r="D388" s="2">
        <f t="shared" si="6"/>
        <v>150</v>
      </c>
      <c r="E388" t="s">
        <v>7</v>
      </c>
      <c r="G388" s="1">
        <v>45581</v>
      </c>
    </row>
    <row r="389" spans="1:7" x14ac:dyDescent="0.3">
      <c r="A389" t="s">
        <v>171</v>
      </c>
      <c r="B389">
        <v>1</v>
      </c>
      <c r="C389" s="2">
        <v>120</v>
      </c>
      <c r="D389" s="2">
        <f t="shared" si="6"/>
        <v>120</v>
      </c>
      <c r="E389" t="s">
        <v>7</v>
      </c>
      <c r="G389" s="1">
        <v>45581</v>
      </c>
    </row>
    <row r="390" spans="1:7" x14ac:dyDescent="0.3">
      <c r="A390" t="s">
        <v>75</v>
      </c>
      <c r="B390">
        <v>1</v>
      </c>
      <c r="C390" s="2">
        <v>250</v>
      </c>
      <c r="D390" s="2">
        <f t="shared" si="6"/>
        <v>250</v>
      </c>
      <c r="E390" t="s">
        <v>7</v>
      </c>
      <c r="G390" s="1">
        <v>45581</v>
      </c>
    </row>
    <row r="391" spans="1:7" x14ac:dyDescent="0.3">
      <c r="A391" t="s">
        <v>171</v>
      </c>
      <c r="B391">
        <v>1</v>
      </c>
      <c r="C391" s="2">
        <v>150</v>
      </c>
      <c r="D391" s="2">
        <f t="shared" si="6"/>
        <v>150</v>
      </c>
      <c r="E391" t="s">
        <v>7</v>
      </c>
      <c r="G391" s="1">
        <v>45581</v>
      </c>
    </row>
    <row r="392" spans="1:7" x14ac:dyDescent="0.3">
      <c r="A392" t="s">
        <v>182</v>
      </c>
      <c r="B392">
        <v>1</v>
      </c>
      <c r="C392" s="2">
        <v>150</v>
      </c>
      <c r="D392" s="2">
        <f t="shared" si="6"/>
        <v>150</v>
      </c>
      <c r="E392" t="s">
        <v>7</v>
      </c>
      <c r="G392" s="1">
        <v>45581</v>
      </c>
    </row>
    <row r="393" spans="1:7" x14ac:dyDescent="0.3">
      <c r="A393" t="s">
        <v>165</v>
      </c>
      <c r="B393">
        <v>1</v>
      </c>
      <c r="C393" s="2">
        <v>150</v>
      </c>
      <c r="D393" s="2">
        <f t="shared" si="6"/>
        <v>150</v>
      </c>
      <c r="E393" t="s">
        <v>7</v>
      </c>
      <c r="G393" s="1">
        <v>45581</v>
      </c>
    </row>
    <row r="394" spans="1:7" x14ac:dyDescent="0.3">
      <c r="A394" t="s">
        <v>186</v>
      </c>
      <c r="B394">
        <v>1</v>
      </c>
      <c r="C394" s="2">
        <v>350</v>
      </c>
      <c r="D394" s="2">
        <f t="shared" si="6"/>
        <v>350</v>
      </c>
      <c r="E394" t="s">
        <v>7</v>
      </c>
      <c r="G394" s="1">
        <v>45581</v>
      </c>
    </row>
    <row r="395" spans="1:7" x14ac:dyDescent="0.3">
      <c r="A395" t="s">
        <v>176</v>
      </c>
      <c r="B395">
        <v>0.2</v>
      </c>
      <c r="C395" s="2">
        <v>400</v>
      </c>
      <c r="D395" s="2">
        <f t="shared" si="6"/>
        <v>80</v>
      </c>
      <c r="E395" t="s">
        <v>7</v>
      </c>
      <c r="G395" s="1">
        <v>45581</v>
      </c>
    </row>
    <row r="396" spans="1:7" x14ac:dyDescent="0.3">
      <c r="A396" t="s">
        <v>174</v>
      </c>
      <c r="B396">
        <v>0.4</v>
      </c>
      <c r="C396" s="2">
        <v>400</v>
      </c>
      <c r="D396" s="2">
        <f t="shared" si="6"/>
        <v>160</v>
      </c>
      <c r="E396" t="s">
        <v>7</v>
      </c>
      <c r="G396" s="1">
        <v>45581</v>
      </c>
    </row>
    <row r="397" spans="1:7" x14ac:dyDescent="0.3">
      <c r="A397" t="s">
        <v>14</v>
      </c>
      <c r="B397">
        <v>1</v>
      </c>
      <c r="C397" s="2">
        <v>10</v>
      </c>
      <c r="D397" s="2">
        <f t="shared" si="6"/>
        <v>10</v>
      </c>
      <c r="E397" t="s">
        <v>7</v>
      </c>
      <c r="G397" s="1">
        <v>45582</v>
      </c>
    </row>
    <row r="398" spans="1:7" x14ac:dyDescent="0.3">
      <c r="A398" t="s">
        <v>225</v>
      </c>
      <c r="B398">
        <v>1</v>
      </c>
      <c r="C398" s="2">
        <v>40</v>
      </c>
      <c r="D398" s="2">
        <f t="shared" si="6"/>
        <v>40</v>
      </c>
      <c r="E398" t="s">
        <v>7</v>
      </c>
      <c r="G398" s="1">
        <v>45582</v>
      </c>
    </row>
    <row r="399" spans="1:7" x14ac:dyDescent="0.3">
      <c r="A399" t="s">
        <v>233</v>
      </c>
      <c r="B399">
        <v>1</v>
      </c>
      <c r="C399" s="2">
        <v>380</v>
      </c>
      <c r="D399" s="2">
        <f t="shared" si="6"/>
        <v>380</v>
      </c>
      <c r="E399" t="s">
        <v>7</v>
      </c>
      <c r="G399" s="1">
        <v>45582</v>
      </c>
    </row>
    <row r="400" spans="1:7" x14ac:dyDescent="0.3">
      <c r="A400" t="s">
        <v>41</v>
      </c>
      <c r="B400">
        <v>1</v>
      </c>
      <c r="C400" s="2">
        <v>45</v>
      </c>
      <c r="D400" s="2">
        <f t="shared" si="6"/>
        <v>45</v>
      </c>
      <c r="E400" t="s">
        <v>7</v>
      </c>
      <c r="G400" s="1">
        <v>45582</v>
      </c>
    </row>
    <row r="401" spans="1:7" x14ac:dyDescent="0.3">
      <c r="A401" t="s">
        <v>171</v>
      </c>
      <c r="B401">
        <v>1</v>
      </c>
      <c r="C401" s="2">
        <v>120</v>
      </c>
      <c r="D401" s="2">
        <f t="shared" si="6"/>
        <v>120</v>
      </c>
      <c r="E401" t="s">
        <v>7</v>
      </c>
      <c r="G401" s="1">
        <v>45582</v>
      </c>
    </row>
    <row r="402" spans="1:7" x14ac:dyDescent="0.3">
      <c r="A402" t="s">
        <v>50</v>
      </c>
      <c r="B402">
        <v>2</v>
      </c>
      <c r="C402" s="2">
        <v>55</v>
      </c>
      <c r="D402" s="2">
        <f t="shared" si="6"/>
        <v>110</v>
      </c>
      <c r="E402" t="s">
        <v>7</v>
      </c>
      <c r="F402" t="s">
        <v>17</v>
      </c>
      <c r="G402" s="1">
        <v>45582</v>
      </c>
    </row>
    <row r="403" spans="1:7" x14ac:dyDescent="0.3">
      <c r="A403" t="s">
        <v>173</v>
      </c>
      <c r="B403">
        <v>1</v>
      </c>
      <c r="C403" s="2">
        <v>150</v>
      </c>
      <c r="D403" s="2">
        <f t="shared" si="6"/>
        <v>150</v>
      </c>
      <c r="E403" t="s">
        <v>7</v>
      </c>
      <c r="F403" t="s">
        <v>17</v>
      </c>
      <c r="G403" s="1">
        <v>45582</v>
      </c>
    </row>
    <row r="404" spans="1:7" x14ac:dyDescent="0.3">
      <c r="A404" t="s">
        <v>181</v>
      </c>
      <c r="B404">
        <v>1</v>
      </c>
      <c r="C404" s="2">
        <v>100</v>
      </c>
      <c r="D404" s="2">
        <f t="shared" si="6"/>
        <v>100</v>
      </c>
      <c r="E404" t="s">
        <v>7</v>
      </c>
      <c r="G404" s="1">
        <v>45582</v>
      </c>
    </row>
    <row r="405" spans="1:7" x14ac:dyDescent="0.3">
      <c r="A405" t="s">
        <v>190</v>
      </c>
      <c r="B405">
        <v>1</v>
      </c>
      <c r="C405" s="2">
        <v>100</v>
      </c>
      <c r="D405" s="2">
        <f t="shared" si="6"/>
        <v>100</v>
      </c>
      <c r="E405" t="s">
        <v>7</v>
      </c>
      <c r="G405" s="1">
        <v>45582</v>
      </c>
    </row>
    <row r="406" spans="1:7" x14ac:dyDescent="0.3">
      <c r="A406" t="s">
        <v>195</v>
      </c>
      <c r="B406">
        <v>4</v>
      </c>
      <c r="C406" s="2">
        <v>1450</v>
      </c>
      <c r="D406" s="2">
        <f t="shared" si="6"/>
        <v>5800</v>
      </c>
      <c r="E406" t="s">
        <v>60</v>
      </c>
      <c r="G406" s="1">
        <v>45582</v>
      </c>
    </row>
    <row r="407" spans="1:7" x14ac:dyDescent="0.3">
      <c r="A407" t="s">
        <v>194</v>
      </c>
      <c r="B407">
        <v>4</v>
      </c>
      <c r="C407" s="2">
        <v>1300</v>
      </c>
      <c r="D407" s="2">
        <f t="shared" si="6"/>
        <v>5200</v>
      </c>
      <c r="E407" t="s">
        <v>60</v>
      </c>
      <c r="G407" s="1">
        <v>45582</v>
      </c>
    </row>
    <row r="408" spans="1:7" x14ac:dyDescent="0.3">
      <c r="A408" t="s">
        <v>185</v>
      </c>
      <c r="B408">
        <v>6</v>
      </c>
      <c r="C408" s="2">
        <v>1250</v>
      </c>
      <c r="D408" s="2">
        <f t="shared" si="6"/>
        <v>7500</v>
      </c>
      <c r="E408" t="s">
        <v>60</v>
      </c>
      <c r="G408" s="1">
        <v>45582</v>
      </c>
    </row>
    <row r="409" spans="1:7" x14ac:dyDescent="0.3">
      <c r="A409" t="s">
        <v>55</v>
      </c>
      <c r="B409">
        <v>4</v>
      </c>
      <c r="C409" s="2">
        <v>1700</v>
      </c>
      <c r="D409" s="2">
        <f t="shared" si="6"/>
        <v>6800</v>
      </c>
      <c r="E409" t="s">
        <v>60</v>
      </c>
      <c r="G409" s="1">
        <v>45582</v>
      </c>
    </row>
    <row r="410" spans="1:7" x14ac:dyDescent="0.3">
      <c r="A410" t="s">
        <v>76</v>
      </c>
      <c r="B410">
        <v>2</v>
      </c>
      <c r="C410" s="2">
        <v>550</v>
      </c>
      <c r="D410" s="2">
        <f t="shared" si="6"/>
        <v>1100</v>
      </c>
      <c r="E410" t="s">
        <v>60</v>
      </c>
      <c r="G410" s="1">
        <v>45582</v>
      </c>
    </row>
    <row r="411" spans="1:7" x14ac:dyDescent="0.3">
      <c r="A411" t="s">
        <v>204</v>
      </c>
      <c r="B411">
        <v>3</v>
      </c>
      <c r="C411" s="2">
        <v>550</v>
      </c>
      <c r="D411" s="2">
        <f t="shared" si="6"/>
        <v>1650</v>
      </c>
      <c r="E411" t="s">
        <v>60</v>
      </c>
      <c r="G411" s="1">
        <v>45582</v>
      </c>
    </row>
    <row r="412" spans="1:7" x14ac:dyDescent="0.3">
      <c r="A412" t="s">
        <v>187</v>
      </c>
      <c r="B412">
        <v>1</v>
      </c>
      <c r="C412" s="2">
        <v>300</v>
      </c>
      <c r="D412" s="2">
        <f t="shared" si="6"/>
        <v>300</v>
      </c>
      <c r="E412" t="s">
        <v>60</v>
      </c>
      <c r="G412" s="1">
        <v>45582</v>
      </c>
    </row>
    <row r="413" spans="1:7" x14ac:dyDescent="0.3">
      <c r="A413" t="s">
        <v>182</v>
      </c>
      <c r="B413">
        <v>1</v>
      </c>
      <c r="C413" s="2">
        <v>380</v>
      </c>
      <c r="D413" s="2">
        <f t="shared" si="6"/>
        <v>380</v>
      </c>
      <c r="E413" t="s">
        <v>60</v>
      </c>
      <c r="G413" s="1">
        <v>45582</v>
      </c>
    </row>
    <row r="414" spans="1:7" x14ac:dyDescent="0.3">
      <c r="A414" t="s">
        <v>196</v>
      </c>
      <c r="B414">
        <v>1</v>
      </c>
      <c r="C414" s="2">
        <v>250</v>
      </c>
      <c r="D414" s="2">
        <f t="shared" si="6"/>
        <v>250</v>
      </c>
      <c r="E414" t="s">
        <v>7</v>
      </c>
      <c r="G414" s="1">
        <v>45584</v>
      </c>
    </row>
    <row r="415" spans="1:7" x14ac:dyDescent="0.3">
      <c r="A415" t="s">
        <v>182</v>
      </c>
      <c r="B415">
        <v>1</v>
      </c>
      <c r="C415" s="2">
        <v>200</v>
      </c>
      <c r="D415" s="2">
        <f t="shared" si="6"/>
        <v>200</v>
      </c>
      <c r="E415" t="s">
        <v>7</v>
      </c>
      <c r="G415" s="1">
        <v>45584</v>
      </c>
    </row>
    <row r="416" spans="1:7" x14ac:dyDescent="0.3">
      <c r="A416" t="s">
        <v>233</v>
      </c>
      <c r="B416">
        <v>1</v>
      </c>
      <c r="C416" s="2">
        <v>300</v>
      </c>
      <c r="D416" s="2">
        <f t="shared" si="6"/>
        <v>300</v>
      </c>
      <c r="E416" t="s">
        <v>7</v>
      </c>
      <c r="G416" s="1">
        <v>45584</v>
      </c>
    </row>
    <row r="417" spans="1:9" x14ac:dyDescent="0.3">
      <c r="A417" t="s">
        <v>45</v>
      </c>
      <c r="B417">
        <v>1</v>
      </c>
      <c r="C417" s="2">
        <v>350</v>
      </c>
      <c r="D417" s="2">
        <f t="shared" si="6"/>
        <v>350</v>
      </c>
      <c r="E417" t="s">
        <v>7</v>
      </c>
      <c r="G417" s="1">
        <v>45584</v>
      </c>
    </row>
    <row r="418" spans="1:9" x14ac:dyDescent="0.3">
      <c r="A418" t="s">
        <v>65</v>
      </c>
      <c r="B418">
        <v>1</v>
      </c>
      <c r="C418" s="2">
        <v>250</v>
      </c>
      <c r="D418" s="2">
        <f t="shared" si="6"/>
        <v>250</v>
      </c>
      <c r="E418" t="s">
        <v>7</v>
      </c>
      <c r="G418" s="1">
        <v>45584</v>
      </c>
    </row>
    <row r="419" spans="1:9" x14ac:dyDescent="0.3">
      <c r="A419" t="s">
        <v>78</v>
      </c>
      <c r="B419">
        <v>6</v>
      </c>
      <c r="C419" s="2">
        <v>20</v>
      </c>
      <c r="D419" s="2">
        <f t="shared" si="6"/>
        <v>120</v>
      </c>
      <c r="E419" t="s">
        <v>7</v>
      </c>
      <c r="G419" s="1">
        <v>45584</v>
      </c>
    </row>
    <row r="420" spans="1:9" x14ac:dyDescent="0.3">
      <c r="A420" t="s">
        <v>233</v>
      </c>
      <c r="B420">
        <v>4</v>
      </c>
      <c r="C420" s="2">
        <v>400</v>
      </c>
      <c r="D420" s="2">
        <f t="shared" si="6"/>
        <v>1600</v>
      </c>
      <c r="E420" t="s">
        <v>79</v>
      </c>
      <c r="F420" t="s">
        <v>17</v>
      </c>
      <c r="G420" s="1">
        <v>45584</v>
      </c>
    </row>
    <row r="421" spans="1:9" x14ac:dyDescent="0.3">
      <c r="A421" t="s">
        <v>199</v>
      </c>
      <c r="B421">
        <v>4</v>
      </c>
      <c r="C421" s="2">
        <v>400</v>
      </c>
      <c r="D421" s="2">
        <f t="shared" si="6"/>
        <v>1600</v>
      </c>
      <c r="E421" t="s">
        <v>79</v>
      </c>
      <c r="F421" t="s">
        <v>17</v>
      </c>
      <c r="G421" s="1">
        <v>45584</v>
      </c>
    </row>
    <row r="422" spans="1:9" x14ac:dyDescent="0.3">
      <c r="A422" t="s">
        <v>39</v>
      </c>
      <c r="B422">
        <v>8</v>
      </c>
      <c r="C422" s="2">
        <v>50</v>
      </c>
      <c r="D422" s="2">
        <f t="shared" si="6"/>
        <v>400</v>
      </c>
      <c r="E422" t="s">
        <v>79</v>
      </c>
      <c r="F422" t="s">
        <v>17</v>
      </c>
      <c r="G422" s="1">
        <v>45584</v>
      </c>
    </row>
    <row r="423" spans="1:9" x14ac:dyDescent="0.3">
      <c r="A423" t="s">
        <v>41</v>
      </c>
      <c r="B423">
        <v>10</v>
      </c>
      <c r="C423" s="2">
        <v>40</v>
      </c>
      <c r="D423" s="2">
        <f t="shared" si="6"/>
        <v>400</v>
      </c>
      <c r="E423" t="s">
        <v>79</v>
      </c>
      <c r="F423" t="s">
        <v>17</v>
      </c>
      <c r="G423" s="1">
        <v>45584</v>
      </c>
    </row>
    <row r="424" spans="1:9" x14ac:dyDescent="0.3">
      <c r="A424" t="s">
        <v>178</v>
      </c>
      <c r="B424">
        <v>4</v>
      </c>
      <c r="C424" s="2">
        <v>130</v>
      </c>
      <c r="D424" s="2">
        <f t="shared" si="6"/>
        <v>520</v>
      </c>
      <c r="E424" t="s">
        <v>79</v>
      </c>
      <c r="F424" t="s">
        <v>17</v>
      </c>
      <c r="G424" s="1">
        <v>45584</v>
      </c>
    </row>
    <row r="425" spans="1:9" x14ac:dyDescent="0.3">
      <c r="A425" t="s">
        <v>171</v>
      </c>
      <c r="B425">
        <v>1</v>
      </c>
      <c r="C425" s="2">
        <v>100</v>
      </c>
      <c r="D425" s="2">
        <f t="shared" si="6"/>
        <v>100</v>
      </c>
      <c r="E425" t="s">
        <v>7</v>
      </c>
      <c r="G425" s="1">
        <v>45584</v>
      </c>
    </row>
    <row r="426" spans="1:9" x14ac:dyDescent="0.3">
      <c r="A426" t="s">
        <v>162</v>
      </c>
      <c r="B426">
        <v>2</v>
      </c>
      <c r="C426" s="2">
        <v>15</v>
      </c>
      <c r="D426" s="2">
        <f t="shared" si="6"/>
        <v>30</v>
      </c>
      <c r="E426" t="s">
        <v>7</v>
      </c>
      <c r="G426" s="1">
        <v>45585</v>
      </c>
    </row>
    <row r="427" spans="1:9" x14ac:dyDescent="0.3">
      <c r="A427" t="s">
        <v>205</v>
      </c>
      <c r="B427">
        <v>100</v>
      </c>
      <c r="C427" s="2">
        <v>425</v>
      </c>
      <c r="D427" s="2">
        <f t="shared" si="6"/>
        <v>42500</v>
      </c>
      <c r="E427" t="s">
        <v>62</v>
      </c>
      <c r="F427" t="s">
        <v>17</v>
      </c>
      <c r="G427" s="1">
        <v>45585</v>
      </c>
    </row>
    <row r="428" spans="1:9" x14ac:dyDescent="0.3">
      <c r="A428" t="s">
        <v>67</v>
      </c>
      <c r="B428">
        <v>100</v>
      </c>
      <c r="C428" s="2">
        <v>600</v>
      </c>
      <c r="D428" s="2">
        <f t="shared" si="6"/>
        <v>60000</v>
      </c>
      <c r="E428" t="s">
        <v>62</v>
      </c>
      <c r="F428" t="s">
        <v>17</v>
      </c>
      <c r="G428" s="1">
        <v>45585</v>
      </c>
    </row>
    <row r="429" spans="1:9" x14ac:dyDescent="0.3">
      <c r="A429" t="s">
        <v>53</v>
      </c>
      <c r="B429">
        <v>25</v>
      </c>
      <c r="C429" s="2">
        <v>1050</v>
      </c>
      <c r="D429" s="2">
        <f t="shared" si="6"/>
        <v>26250</v>
      </c>
      <c r="E429" t="s">
        <v>62</v>
      </c>
      <c r="F429" t="s">
        <v>17</v>
      </c>
      <c r="G429" s="1">
        <v>45585</v>
      </c>
    </row>
    <row r="430" spans="1:9" x14ac:dyDescent="0.3">
      <c r="A430" t="s">
        <v>174</v>
      </c>
      <c r="B430">
        <v>30</v>
      </c>
      <c r="C430" s="2">
        <v>480</v>
      </c>
      <c r="D430" s="2">
        <f t="shared" si="6"/>
        <v>14400</v>
      </c>
      <c r="E430" t="s">
        <v>62</v>
      </c>
      <c r="F430" t="s">
        <v>17</v>
      </c>
      <c r="G430" s="1">
        <v>45585</v>
      </c>
    </row>
    <row r="431" spans="1:9" x14ac:dyDescent="0.3">
      <c r="A431" t="s">
        <v>204</v>
      </c>
      <c r="B431">
        <v>48</v>
      </c>
      <c r="C431" s="2">
        <v>370</v>
      </c>
      <c r="D431" s="2">
        <f t="shared" si="6"/>
        <v>17760</v>
      </c>
      <c r="E431" t="s">
        <v>62</v>
      </c>
      <c r="F431" t="s">
        <v>17</v>
      </c>
      <c r="G431" s="1">
        <v>45585</v>
      </c>
      <c r="I431">
        <f>SUBTOTAL(9,B411:B1365)</f>
        <v>9172.4299999999967</v>
      </c>
    </row>
    <row r="432" spans="1:9" x14ac:dyDescent="0.3">
      <c r="A432" t="s">
        <v>232</v>
      </c>
      <c r="B432">
        <v>60</v>
      </c>
      <c r="C432" s="2">
        <v>370</v>
      </c>
      <c r="D432" s="2">
        <f t="shared" si="6"/>
        <v>22200</v>
      </c>
      <c r="E432" t="s">
        <v>62</v>
      </c>
      <c r="F432" t="s">
        <v>17</v>
      </c>
      <c r="G432" s="1">
        <v>45585</v>
      </c>
    </row>
    <row r="433" spans="1:9" x14ac:dyDescent="0.3">
      <c r="A433" t="s">
        <v>210</v>
      </c>
      <c r="B433">
        <v>60</v>
      </c>
      <c r="C433" s="2">
        <v>220</v>
      </c>
      <c r="D433" s="2">
        <f t="shared" si="6"/>
        <v>13200</v>
      </c>
      <c r="E433" t="s">
        <v>62</v>
      </c>
      <c r="F433" t="s">
        <v>17</v>
      </c>
      <c r="G433" s="1">
        <v>45585</v>
      </c>
    </row>
    <row r="434" spans="1:9" x14ac:dyDescent="0.3">
      <c r="A434" t="s">
        <v>81</v>
      </c>
      <c r="B434">
        <v>120</v>
      </c>
      <c r="C434" s="2">
        <v>215</v>
      </c>
      <c r="D434" s="2">
        <f t="shared" si="6"/>
        <v>25800</v>
      </c>
      <c r="E434" t="s">
        <v>62</v>
      </c>
      <c r="F434" t="s">
        <v>17</v>
      </c>
      <c r="G434" s="1">
        <v>45585</v>
      </c>
    </row>
    <row r="435" spans="1:9" x14ac:dyDescent="0.3">
      <c r="A435" t="s">
        <v>194</v>
      </c>
      <c r="B435">
        <v>30</v>
      </c>
      <c r="C435" s="2">
        <v>1050</v>
      </c>
      <c r="D435" s="2">
        <f t="shared" si="6"/>
        <v>31500</v>
      </c>
      <c r="E435" t="s">
        <v>62</v>
      </c>
      <c r="F435" t="s">
        <v>17</v>
      </c>
      <c r="G435" s="1">
        <v>45585</v>
      </c>
    </row>
    <row r="436" spans="1:9" x14ac:dyDescent="0.3">
      <c r="A436" t="s">
        <v>221</v>
      </c>
      <c r="B436">
        <v>16</v>
      </c>
      <c r="C436" s="2">
        <v>1290</v>
      </c>
      <c r="D436" s="2">
        <f t="shared" si="6"/>
        <v>20640</v>
      </c>
      <c r="E436" t="s">
        <v>62</v>
      </c>
      <c r="F436" t="s">
        <v>17</v>
      </c>
      <c r="G436" s="1">
        <v>45585</v>
      </c>
    </row>
    <row r="437" spans="1:9" x14ac:dyDescent="0.3">
      <c r="A437" t="s">
        <v>215</v>
      </c>
      <c r="B437">
        <v>280</v>
      </c>
      <c r="C437" s="2">
        <v>60</v>
      </c>
      <c r="D437" s="2">
        <f t="shared" si="6"/>
        <v>16800</v>
      </c>
      <c r="E437" t="s">
        <v>62</v>
      </c>
      <c r="F437" t="s">
        <v>17</v>
      </c>
      <c r="G437" s="1">
        <v>45585</v>
      </c>
    </row>
    <row r="438" spans="1:9" x14ac:dyDescent="0.3">
      <c r="A438" t="s">
        <v>209</v>
      </c>
      <c r="B438">
        <v>20</v>
      </c>
      <c r="C438" s="2">
        <v>220</v>
      </c>
      <c r="D438" s="2">
        <f t="shared" si="6"/>
        <v>4400</v>
      </c>
      <c r="E438" t="s">
        <v>62</v>
      </c>
      <c r="F438" t="s">
        <v>17</v>
      </c>
      <c r="G438" s="1">
        <v>45585</v>
      </c>
    </row>
    <row r="439" spans="1:9" x14ac:dyDescent="0.3">
      <c r="A439" t="s">
        <v>200</v>
      </c>
      <c r="B439">
        <v>12</v>
      </c>
      <c r="C439" s="2">
        <v>220</v>
      </c>
      <c r="D439" s="2">
        <f t="shared" si="6"/>
        <v>2640</v>
      </c>
      <c r="E439" t="s">
        <v>62</v>
      </c>
      <c r="F439" t="s">
        <v>17</v>
      </c>
      <c r="G439" s="1">
        <v>45585</v>
      </c>
      <c r="I439">
        <f>SUBTOTAL(9,B350:B1361)</f>
        <v>9321.2299999999977</v>
      </c>
    </row>
    <row r="440" spans="1:9" x14ac:dyDescent="0.3">
      <c r="A440" t="s">
        <v>70</v>
      </c>
      <c r="B440">
        <v>40</v>
      </c>
      <c r="C440" s="2">
        <v>400</v>
      </c>
      <c r="D440" s="2">
        <f t="shared" si="6"/>
        <v>16000</v>
      </c>
      <c r="E440" t="s">
        <v>62</v>
      </c>
      <c r="F440" t="s">
        <v>17</v>
      </c>
      <c r="G440" s="1">
        <v>45585</v>
      </c>
    </row>
    <row r="441" spans="1:9" x14ac:dyDescent="0.3">
      <c r="A441" t="s">
        <v>199</v>
      </c>
      <c r="B441">
        <v>12</v>
      </c>
      <c r="C441" s="2">
        <v>270</v>
      </c>
      <c r="D441" s="2">
        <f t="shared" si="6"/>
        <v>3240</v>
      </c>
      <c r="E441" t="s">
        <v>62</v>
      </c>
      <c r="F441" t="s">
        <v>17</v>
      </c>
      <c r="G441" s="1">
        <v>45585</v>
      </c>
    </row>
    <row r="442" spans="1:9" x14ac:dyDescent="0.3">
      <c r="A442" t="s">
        <v>95</v>
      </c>
      <c r="B442">
        <v>12</v>
      </c>
      <c r="C442" s="2">
        <v>190</v>
      </c>
      <c r="D442" s="2">
        <f t="shared" si="6"/>
        <v>2280</v>
      </c>
      <c r="E442" t="s">
        <v>62</v>
      </c>
      <c r="F442" t="s">
        <v>17</v>
      </c>
      <c r="G442" s="1">
        <v>45585</v>
      </c>
    </row>
    <row r="443" spans="1:9" x14ac:dyDescent="0.3">
      <c r="A443" t="s">
        <v>196</v>
      </c>
      <c r="B443">
        <v>12</v>
      </c>
      <c r="C443" s="2">
        <v>210</v>
      </c>
      <c r="D443" s="2">
        <f t="shared" si="6"/>
        <v>2520</v>
      </c>
      <c r="E443" t="s">
        <v>62</v>
      </c>
      <c r="F443" t="s">
        <v>17</v>
      </c>
      <c r="G443" s="1">
        <v>45585</v>
      </c>
    </row>
    <row r="444" spans="1:9" x14ac:dyDescent="0.3">
      <c r="A444" t="s">
        <v>181</v>
      </c>
      <c r="B444" s="17">
        <v>260</v>
      </c>
      <c r="C444" s="2">
        <v>85</v>
      </c>
      <c r="D444" s="2">
        <f t="shared" si="6"/>
        <v>22100</v>
      </c>
      <c r="E444" t="s">
        <v>62</v>
      </c>
      <c r="F444" t="s">
        <v>17</v>
      </c>
      <c r="G444" s="1">
        <v>45585</v>
      </c>
    </row>
    <row r="445" spans="1:9" x14ac:dyDescent="0.3">
      <c r="A445" t="s">
        <v>69</v>
      </c>
      <c r="B445">
        <v>16</v>
      </c>
      <c r="C445" s="2">
        <v>500</v>
      </c>
      <c r="D445" s="2">
        <f t="shared" si="6"/>
        <v>8000</v>
      </c>
      <c r="E445" t="s">
        <v>62</v>
      </c>
      <c r="F445" t="s">
        <v>17</v>
      </c>
      <c r="G445" s="1">
        <v>45585</v>
      </c>
    </row>
    <row r="446" spans="1:9" x14ac:dyDescent="0.3">
      <c r="A446" t="s">
        <v>208</v>
      </c>
      <c r="B446">
        <v>24</v>
      </c>
      <c r="C446" s="2">
        <v>800</v>
      </c>
      <c r="D446" s="2">
        <f t="shared" si="6"/>
        <v>19200</v>
      </c>
      <c r="E446" t="s">
        <v>62</v>
      </c>
      <c r="F446" t="s">
        <v>17</v>
      </c>
      <c r="G446" s="1">
        <v>45585</v>
      </c>
    </row>
    <row r="447" spans="1:9" x14ac:dyDescent="0.3">
      <c r="A447" t="s">
        <v>192</v>
      </c>
      <c r="B447">
        <v>24</v>
      </c>
      <c r="C447" s="2">
        <v>250</v>
      </c>
      <c r="D447" s="2">
        <f t="shared" si="6"/>
        <v>6000</v>
      </c>
      <c r="E447" t="s">
        <v>62</v>
      </c>
      <c r="F447" t="s">
        <v>17</v>
      </c>
      <c r="G447" s="1">
        <v>45585</v>
      </c>
    </row>
    <row r="448" spans="1:9" x14ac:dyDescent="0.3">
      <c r="A448" t="s">
        <v>183</v>
      </c>
      <c r="B448">
        <v>48</v>
      </c>
      <c r="C448" s="2">
        <v>450</v>
      </c>
      <c r="D448" s="2">
        <f t="shared" si="6"/>
        <v>21600</v>
      </c>
      <c r="E448" t="s">
        <v>62</v>
      </c>
      <c r="F448" t="s">
        <v>17</v>
      </c>
      <c r="G448" s="1">
        <v>45585</v>
      </c>
    </row>
    <row r="449" spans="1:7" x14ac:dyDescent="0.3">
      <c r="A449" t="s">
        <v>171</v>
      </c>
      <c r="B449">
        <v>100</v>
      </c>
      <c r="C449" s="2">
        <v>115</v>
      </c>
      <c r="D449" s="2">
        <f t="shared" si="6"/>
        <v>11500</v>
      </c>
      <c r="E449" t="s">
        <v>62</v>
      </c>
      <c r="F449" t="s">
        <v>17</v>
      </c>
      <c r="G449" s="1">
        <v>45585</v>
      </c>
    </row>
    <row r="450" spans="1:7" x14ac:dyDescent="0.3">
      <c r="A450" t="s">
        <v>73</v>
      </c>
      <c r="B450">
        <v>36</v>
      </c>
      <c r="C450" s="2">
        <v>250</v>
      </c>
      <c r="D450" s="2">
        <f t="shared" si="6"/>
        <v>9000</v>
      </c>
      <c r="E450" t="s">
        <v>62</v>
      </c>
      <c r="F450" t="s">
        <v>17</v>
      </c>
      <c r="G450" s="1">
        <v>45585</v>
      </c>
    </row>
    <row r="451" spans="1:7" x14ac:dyDescent="0.3">
      <c r="A451" t="s">
        <v>179</v>
      </c>
      <c r="B451">
        <v>22</v>
      </c>
      <c r="C451" s="2">
        <v>230</v>
      </c>
      <c r="D451" s="2">
        <f t="shared" ref="D451:D514" si="7">B451*C451</f>
        <v>5060</v>
      </c>
      <c r="E451" t="s">
        <v>62</v>
      </c>
      <c r="F451" t="s">
        <v>17</v>
      </c>
      <c r="G451" s="1">
        <v>45585</v>
      </c>
    </row>
    <row r="452" spans="1:7" x14ac:dyDescent="0.3">
      <c r="A452" t="s">
        <v>197</v>
      </c>
      <c r="B452">
        <v>60</v>
      </c>
      <c r="C452" s="2">
        <v>190</v>
      </c>
      <c r="D452" s="2">
        <f t="shared" si="7"/>
        <v>11400</v>
      </c>
      <c r="E452" t="s">
        <v>62</v>
      </c>
      <c r="F452" t="s">
        <v>17</v>
      </c>
      <c r="G452" s="1">
        <v>45585</v>
      </c>
    </row>
    <row r="453" spans="1:7" x14ac:dyDescent="0.3">
      <c r="A453" t="s">
        <v>83</v>
      </c>
      <c r="B453">
        <v>30</v>
      </c>
      <c r="C453" s="2">
        <v>155</v>
      </c>
      <c r="D453" s="2">
        <f t="shared" si="7"/>
        <v>4650</v>
      </c>
      <c r="E453" t="s">
        <v>62</v>
      </c>
      <c r="F453" t="s">
        <v>17</v>
      </c>
      <c r="G453" s="1">
        <v>45585</v>
      </c>
    </row>
    <row r="454" spans="1:7" x14ac:dyDescent="0.3">
      <c r="A454" t="s">
        <v>84</v>
      </c>
      <c r="B454">
        <v>24</v>
      </c>
      <c r="C454" s="2">
        <v>287</v>
      </c>
      <c r="D454" s="2">
        <f t="shared" si="7"/>
        <v>6888</v>
      </c>
      <c r="E454" t="s">
        <v>62</v>
      </c>
      <c r="F454" t="s">
        <v>17</v>
      </c>
      <c r="G454" s="1">
        <v>45585</v>
      </c>
    </row>
    <row r="455" spans="1:7" x14ac:dyDescent="0.3">
      <c r="A455" t="s">
        <v>85</v>
      </c>
      <c r="B455">
        <v>30</v>
      </c>
      <c r="C455" s="2">
        <v>150</v>
      </c>
      <c r="D455" s="2">
        <f t="shared" si="7"/>
        <v>4500</v>
      </c>
      <c r="E455" t="s">
        <v>62</v>
      </c>
      <c r="F455" t="s">
        <v>17</v>
      </c>
      <c r="G455" s="1">
        <v>45585</v>
      </c>
    </row>
    <row r="456" spans="1:7" x14ac:dyDescent="0.3">
      <c r="A456" t="s">
        <v>86</v>
      </c>
      <c r="B456">
        <v>24</v>
      </c>
      <c r="C456" s="2">
        <v>275</v>
      </c>
      <c r="D456" s="2">
        <f t="shared" si="7"/>
        <v>6600</v>
      </c>
      <c r="E456" t="s">
        <v>62</v>
      </c>
      <c r="F456" t="s">
        <v>17</v>
      </c>
      <c r="G456" s="1">
        <v>45585</v>
      </c>
    </row>
    <row r="457" spans="1:7" x14ac:dyDescent="0.3">
      <c r="A457" t="s">
        <v>87</v>
      </c>
      <c r="B457">
        <v>24</v>
      </c>
      <c r="C457" s="2">
        <v>155</v>
      </c>
      <c r="D457" s="2">
        <f t="shared" si="7"/>
        <v>3720</v>
      </c>
      <c r="E457" t="s">
        <v>62</v>
      </c>
      <c r="F457" t="s">
        <v>17</v>
      </c>
      <c r="G457" s="1">
        <v>45585</v>
      </c>
    </row>
    <row r="458" spans="1:7" x14ac:dyDescent="0.3">
      <c r="A458" t="s">
        <v>88</v>
      </c>
      <c r="B458">
        <v>24</v>
      </c>
      <c r="C458" s="2">
        <v>245</v>
      </c>
      <c r="D458" s="2">
        <f t="shared" si="7"/>
        <v>5880</v>
      </c>
      <c r="E458" t="s">
        <v>62</v>
      </c>
      <c r="F458" t="s">
        <v>17</v>
      </c>
      <c r="G458" s="1">
        <v>45585</v>
      </c>
    </row>
    <row r="459" spans="1:7" x14ac:dyDescent="0.3">
      <c r="A459" t="s">
        <v>89</v>
      </c>
      <c r="B459">
        <v>12</v>
      </c>
      <c r="C459" s="2">
        <v>400</v>
      </c>
      <c r="D459" s="2">
        <f t="shared" si="7"/>
        <v>4800</v>
      </c>
      <c r="E459" t="s">
        <v>62</v>
      </c>
      <c r="F459" t="s">
        <v>17</v>
      </c>
      <c r="G459" s="1">
        <v>45585</v>
      </c>
    </row>
    <row r="460" spans="1:7" x14ac:dyDescent="0.3">
      <c r="A460" t="s">
        <v>90</v>
      </c>
      <c r="B460">
        <v>24</v>
      </c>
      <c r="C460" s="2">
        <v>150</v>
      </c>
      <c r="D460" s="2">
        <f t="shared" si="7"/>
        <v>3600</v>
      </c>
      <c r="E460" t="s">
        <v>62</v>
      </c>
      <c r="F460" t="s">
        <v>17</v>
      </c>
      <c r="G460" s="1">
        <v>45585</v>
      </c>
    </row>
    <row r="461" spans="1:7" x14ac:dyDescent="0.3">
      <c r="A461" t="s">
        <v>91</v>
      </c>
      <c r="B461">
        <v>12</v>
      </c>
      <c r="C461" s="2">
        <v>240</v>
      </c>
      <c r="D461" s="2">
        <f t="shared" si="7"/>
        <v>2880</v>
      </c>
      <c r="E461" t="s">
        <v>62</v>
      </c>
      <c r="F461" t="s">
        <v>17</v>
      </c>
      <c r="G461" s="1">
        <v>45585</v>
      </c>
    </row>
    <row r="462" spans="1:7" x14ac:dyDescent="0.3">
      <c r="A462" t="s">
        <v>165</v>
      </c>
      <c r="B462">
        <v>30</v>
      </c>
      <c r="C462" s="2">
        <v>175</v>
      </c>
      <c r="D462" s="2">
        <f t="shared" si="7"/>
        <v>5250</v>
      </c>
      <c r="E462" t="s">
        <v>62</v>
      </c>
      <c r="F462" t="s">
        <v>17</v>
      </c>
      <c r="G462" s="1">
        <v>45585</v>
      </c>
    </row>
    <row r="463" spans="1:7" x14ac:dyDescent="0.3">
      <c r="A463" t="s">
        <v>92</v>
      </c>
      <c r="B463">
        <v>36</v>
      </c>
      <c r="C463" s="2">
        <v>225</v>
      </c>
      <c r="D463" s="2">
        <f t="shared" si="7"/>
        <v>8100</v>
      </c>
      <c r="E463" t="s">
        <v>62</v>
      </c>
      <c r="F463" t="s">
        <v>17</v>
      </c>
      <c r="G463" s="1">
        <v>45585</v>
      </c>
    </row>
    <row r="464" spans="1:7" x14ac:dyDescent="0.3">
      <c r="A464" t="s">
        <v>195</v>
      </c>
      <c r="B464">
        <v>23</v>
      </c>
      <c r="C464" s="2">
        <v>1335</v>
      </c>
      <c r="D464" s="2">
        <f t="shared" si="7"/>
        <v>30705</v>
      </c>
      <c r="E464" t="s">
        <v>62</v>
      </c>
      <c r="F464" t="s">
        <v>17</v>
      </c>
      <c r="G464" s="1">
        <v>45585</v>
      </c>
    </row>
    <row r="465" spans="1:7" x14ac:dyDescent="0.3">
      <c r="A465" t="s">
        <v>194</v>
      </c>
      <c r="B465">
        <v>31</v>
      </c>
      <c r="C465" s="2">
        <v>1050</v>
      </c>
      <c r="D465" s="2">
        <f t="shared" si="7"/>
        <v>32550</v>
      </c>
      <c r="E465" t="s">
        <v>62</v>
      </c>
      <c r="F465" t="s">
        <v>17</v>
      </c>
      <c r="G465" s="1">
        <v>45585</v>
      </c>
    </row>
    <row r="466" spans="1:7" x14ac:dyDescent="0.3">
      <c r="A466" t="s">
        <v>232</v>
      </c>
      <c r="B466">
        <v>20</v>
      </c>
      <c r="C466" s="2">
        <v>370</v>
      </c>
      <c r="D466" s="2">
        <f t="shared" si="7"/>
        <v>7400</v>
      </c>
      <c r="E466" t="s">
        <v>62</v>
      </c>
      <c r="F466" t="s">
        <v>17</v>
      </c>
      <c r="G466" s="1">
        <v>45585</v>
      </c>
    </row>
    <row r="467" spans="1:7" x14ac:dyDescent="0.3">
      <c r="A467" t="s">
        <v>191</v>
      </c>
      <c r="B467">
        <v>28</v>
      </c>
      <c r="C467" s="2">
        <v>320</v>
      </c>
      <c r="D467" s="2">
        <f t="shared" si="7"/>
        <v>8960</v>
      </c>
      <c r="E467" t="s">
        <v>62</v>
      </c>
      <c r="F467" t="s">
        <v>17</v>
      </c>
      <c r="G467" s="1">
        <v>45585</v>
      </c>
    </row>
    <row r="468" spans="1:7" x14ac:dyDescent="0.3">
      <c r="A468" t="s">
        <v>222</v>
      </c>
      <c r="B468">
        <v>60</v>
      </c>
      <c r="C468" s="2">
        <v>245</v>
      </c>
      <c r="D468" s="2">
        <f t="shared" si="7"/>
        <v>14700</v>
      </c>
      <c r="E468" t="s">
        <v>62</v>
      </c>
      <c r="F468" t="s">
        <v>17</v>
      </c>
      <c r="G468" s="1">
        <v>45585</v>
      </c>
    </row>
    <row r="469" spans="1:7" x14ac:dyDescent="0.3">
      <c r="A469" t="s">
        <v>193</v>
      </c>
      <c r="B469">
        <v>12</v>
      </c>
      <c r="C469" s="2">
        <v>195</v>
      </c>
      <c r="D469" s="2">
        <f t="shared" si="7"/>
        <v>2340</v>
      </c>
      <c r="E469" t="s">
        <v>62</v>
      </c>
      <c r="F469" t="s">
        <v>17</v>
      </c>
      <c r="G469" s="1">
        <v>45585</v>
      </c>
    </row>
    <row r="470" spans="1:7" x14ac:dyDescent="0.3">
      <c r="A470" t="s">
        <v>200</v>
      </c>
      <c r="B470">
        <v>36</v>
      </c>
      <c r="C470" s="2">
        <v>220</v>
      </c>
      <c r="D470" s="2">
        <f t="shared" si="7"/>
        <v>7920</v>
      </c>
      <c r="E470" t="s">
        <v>62</v>
      </c>
      <c r="F470" t="s">
        <v>17</v>
      </c>
      <c r="G470" s="1">
        <v>45585</v>
      </c>
    </row>
    <row r="471" spans="1:7" x14ac:dyDescent="0.3">
      <c r="A471" t="s">
        <v>95</v>
      </c>
      <c r="B471">
        <v>47</v>
      </c>
      <c r="C471" s="2">
        <v>190</v>
      </c>
      <c r="D471" s="2">
        <f t="shared" si="7"/>
        <v>8930</v>
      </c>
      <c r="E471" t="s">
        <v>62</v>
      </c>
      <c r="F471" t="s">
        <v>17</v>
      </c>
      <c r="G471" s="1">
        <v>45585</v>
      </c>
    </row>
    <row r="472" spans="1:7" x14ac:dyDescent="0.3">
      <c r="A472" t="s">
        <v>197</v>
      </c>
      <c r="B472">
        <v>60</v>
      </c>
      <c r="C472" s="2">
        <v>190</v>
      </c>
      <c r="D472" s="2">
        <f t="shared" si="7"/>
        <v>11400</v>
      </c>
      <c r="E472" t="s">
        <v>62</v>
      </c>
      <c r="F472" t="s">
        <v>17</v>
      </c>
      <c r="G472" s="1">
        <v>45585</v>
      </c>
    </row>
    <row r="473" spans="1:7" x14ac:dyDescent="0.3">
      <c r="A473" t="s">
        <v>208</v>
      </c>
      <c r="B473">
        <v>24</v>
      </c>
      <c r="C473" s="2">
        <v>800</v>
      </c>
      <c r="D473" s="2">
        <f t="shared" si="7"/>
        <v>19200</v>
      </c>
      <c r="E473" t="s">
        <v>62</v>
      </c>
      <c r="F473" t="s">
        <v>17</v>
      </c>
      <c r="G473" s="1">
        <v>45585</v>
      </c>
    </row>
    <row r="474" spans="1:7" x14ac:dyDescent="0.3">
      <c r="A474" t="s">
        <v>81</v>
      </c>
      <c r="B474">
        <v>36</v>
      </c>
      <c r="C474" s="2">
        <v>215</v>
      </c>
      <c r="D474" s="2">
        <f t="shared" si="7"/>
        <v>7740</v>
      </c>
      <c r="E474" t="s">
        <v>62</v>
      </c>
      <c r="F474" t="s">
        <v>17</v>
      </c>
      <c r="G474" s="1">
        <v>45585</v>
      </c>
    </row>
    <row r="475" spans="1:7" x14ac:dyDescent="0.3">
      <c r="A475" t="s">
        <v>65</v>
      </c>
      <c r="B475">
        <v>84</v>
      </c>
      <c r="C475" s="2">
        <v>290</v>
      </c>
      <c r="D475" s="2">
        <f t="shared" si="7"/>
        <v>24360</v>
      </c>
      <c r="E475" t="s">
        <v>62</v>
      </c>
      <c r="F475" t="s">
        <v>17</v>
      </c>
      <c r="G475" s="1">
        <v>45585</v>
      </c>
    </row>
    <row r="476" spans="1:7" x14ac:dyDescent="0.3">
      <c r="A476" t="s">
        <v>187</v>
      </c>
      <c r="B476">
        <v>126</v>
      </c>
      <c r="C476" s="2">
        <v>160</v>
      </c>
      <c r="D476" s="2">
        <f t="shared" si="7"/>
        <v>20160</v>
      </c>
      <c r="E476" t="s">
        <v>62</v>
      </c>
      <c r="F476" t="s">
        <v>17</v>
      </c>
      <c r="G476" s="1">
        <v>45585</v>
      </c>
    </row>
    <row r="477" spans="1:7" x14ac:dyDescent="0.3">
      <c r="A477" t="s">
        <v>182</v>
      </c>
      <c r="B477">
        <v>20</v>
      </c>
      <c r="C477" s="2">
        <v>115</v>
      </c>
      <c r="D477" s="2">
        <f t="shared" si="7"/>
        <v>2300</v>
      </c>
      <c r="E477" t="s">
        <v>62</v>
      </c>
      <c r="F477" t="s">
        <v>17</v>
      </c>
      <c r="G477" s="1">
        <v>45585</v>
      </c>
    </row>
    <row r="478" spans="1:7" x14ac:dyDescent="0.3">
      <c r="A478" t="s">
        <v>170</v>
      </c>
      <c r="B478">
        <v>60</v>
      </c>
      <c r="C478" s="2">
        <v>230</v>
      </c>
      <c r="D478" s="2">
        <f t="shared" si="7"/>
        <v>13800</v>
      </c>
      <c r="E478" t="s">
        <v>62</v>
      </c>
      <c r="F478" t="s">
        <v>17</v>
      </c>
      <c r="G478" s="1">
        <v>45585</v>
      </c>
    </row>
    <row r="479" spans="1:7" x14ac:dyDescent="0.3">
      <c r="A479" t="s">
        <v>163</v>
      </c>
      <c r="B479">
        <v>60</v>
      </c>
      <c r="C479" s="2">
        <v>190</v>
      </c>
      <c r="D479" s="2">
        <f t="shared" si="7"/>
        <v>11400</v>
      </c>
      <c r="E479" t="s">
        <v>62</v>
      </c>
      <c r="F479" t="s">
        <v>17</v>
      </c>
      <c r="G479" s="1">
        <v>45585</v>
      </c>
    </row>
    <row r="480" spans="1:7" x14ac:dyDescent="0.3">
      <c r="A480" t="s">
        <v>97</v>
      </c>
      <c r="B480">
        <v>36</v>
      </c>
      <c r="C480" s="2">
        <v>195</v>
      </c>
      <c r="D480" s="2">
        <f t="shared" si="7"/>
        <v>7020</v>
      </c>
      <c r="E480" t="s">
        <v>62</v>
      </c>
      <c r="F480" t="s">
        <v>17</v>
      </c>
      <c r="G480" s="1">
        <v>45585</v>
      </c>
    </row>
    <row r="481" spans="1:7" x14ac:dyDescent="0.3">
      <c r="A481" t="s">
        <v>207</v>
      </c>
      <c r="B481">
        <v>60</v>
      </c>
      <c r="C481" s="2">
        <v>175</v>
      </c>
      <c r="D481" s="2">
        <f t="shared" si="7"/>
        <v>10500</v>
      </c>
      <c r="E481" t="s">
        <v>62</v>
      </c>
      <c r="F481" t="s">
        <v>17</v>
      </c>
      <c r="G481" s="1">
        <v>45585</v>
      </c>
    </row>
    <row r="482" spans="1:7" x14ac:dyDescent="0.3">
      <c r="A482" t="s">
        <v>182</v>
      </c>
      <c r="B482">
        <v>1</v>
      </c>
      <c r="C482" s="2">
        <v>170</v>
      </c>
      <c r="D482" s="2">
        <f t="shared" si="7"/>
        <v>170</v>
      </c>
      <c r="E482" t="s">
        <v>7</v>
      </c>
      <c r="G482" s="1">
        <v>45585</v>
      </c>
    </row>
    <row r="483" spans="1:7" x14ac:dyDescent="0.3">
      <c r="A483" t="s">
        <v>233</v>
      </c>
      <c r="B483">
        <v>4</v>
      </c>
      <c r="C483" s="2">
        <v>250</v>
      </c>
      <c r="D483" s="2">
        <f t="shared" si="7"/>
        <v>1000</v>
      </c>
      <c r="E483" t="s">
        <v>7</v>
      </c>
      <c r="G483" s="1">
        <v>45586</v>
      </c>
    </row>
    <row r="484" spans="1:7" x14ac:dyDescent="0.3">
      <c r="A484" t="s">
        <v>171</v>
      </c>
      <c r="B484">
        <v>1</v>
      </c>
      <c r="C484" s="2">
        <v>100</v>
      </c>
      <c r="D484" s="2">
        <f t="shared" si="7"/>
        <v>100</v>
      </c>
      <c r="E484" t="s">
        <v>7</v>
      </c>
      <c r="G484" s="1">
        <v>45586</v>
      </c>
    </row>
    <row r="485" spans="1:7" x14ac:dyDescent="0.3">
      <c r="A485" t="s">
        <v>173</v>
      </c>
      <c r="B485">
        <v>1</v>
      </c>
      <c r="C485" s="2">
        <v>130</v>
      </c>
      <c r="D485" s="2">
        <f t="shared" si="7"/>
        <v>130</v>
      </c>
      <c r="E485" t="s">
        <v>7</v>
      </c>
      <c r="G485" s="1">
        <v>45586</v>
      </c>
    </row>
    <row r="486" spans="1:7" x14ac:dyDescent="0.3">
      <c r="A486" t="s">
        <v>171</v>
      </c>
      <c r="B486">
        <v>12</v>
      </c>
      <c r="C486" s="2">
        <v>150</v>
      </c>
      <c r="D486" s="2">
        <f t="shared" si="7"/>
        <v>1800</v>
      </c>
      <c r="E486" t="s">
        <v>7</v>
      </c>
      <c r="G486" s="1">
        <v>45586</v>
      </c>
    </row>
    <row r="487" spans="1:7" x14ac:dyDescent="0.3">
      <c r="A487" t="s">
        <v>45</v>
      </c>
      <c r="B487">
        <v>0.5</v>
      </c>
      <c r="C487" s="2">
        <v>1800</v>
      </c>
      <c r="D487" s="2">
        <f t="shared" si="7"/>
        <v>900</v>
      </c>
      <c r="E487" t="s">
        <v>7</v>
      </c>
      <c r="G487" s="1">
        <v>45586</v>
      </c>
    </row>
    <row r="488" spans="1:7" x14ac:dyDescent="0.3">
      <c r="A488" t="s">
        <v>186</v>
      </c>
      <c r="B488">
        <v>1</v>
      </c>
      <c r="C488" s="2">
        <v>450</v>
      </c>
      <c r="D488" s="2">
        <f t="shared" si="7"/>
        <v>450</v>
      </c>
      <c r="E488" t="s">
        <v>7</v>
      </c>
      <c r="G488" s="1">
        <v>45586</v>
      </c>
    </row>
    <row r="489" spans="1:7" x14ac:dyDescent="0.3">
      <c r="A489" t="s">
        <v>14</v>
      </c>
      <c r="B489">
        <v>1</v>
      </c>
      <c r="C489" s="2">
        <v>15</v>
      </c>
      <c r="D489" s="2">
        <f t="shared" si="7"/>
        <v>15</v>
      </c>
      <c r="E489" t="s">
        <v>7</v>
      </c>
      <c r="G489" s="1">
        <v>45586</v>
      </c>
    </row>
    <row r="490" spans="1:7" x14ac:dyDescent="0.3">
      <c r="A490" t="s">
        <v>162</v>
      </c>
      <c r="B490">
        <v>1</v>
      </c>
      <c r="C490" s="2">
        <v>15</v>
      </c>
      <c r="D490" s="2">
        <f t="shared" si="7"/>
        <v>15</v>
      </c>
      <c r="E490" t="s">
        <v>7</v>
      </c>
      <c r="G490" s="1">
        <v>45587</v>
      </c>
    </row>
    <row r="491" spans="1:7" x14ac:dyDescent="0.3">
      <c r="A491" t="s">
        <v>171</v>
      </c>
      <c r="B491">
        <v>1</v>
      </c>
      <c r="C491" s="2">
        <v>100</v>
      </c>
      <c r="D491" s="2">
        <f t="shared" si="7"/>
        <v>100</v>
      </c>
      <c r="E491" t="s">
        <v>7</v>
      </c>
      <c r="G491" s="1">
        <v>45587</v>
      </c>
    </row>
    <row r="492" spans="1:7" x14ac:dyDescent="0.3">
      <c r="A492" t="s">
        <v>171</v>
      </c>
      <c r="B492">
        <v>1</v>
      </c>
      <c r="C492" s="2">
        <v>150</v>
      </c>
      <c r="D492" s="2">
        <f t="shared" si="7"/>
        <v>150</v>
      </c>
      <c r="E492" t="s">
        <v>7</v>
      </c>
      <c r="G492" s="1">
        <v>45587</v>
      </c>
    </row>
    <row r="493" spans="1:7" x14ac:dyDescent="0.3">
      <c r="A493" t="s">
        <v>14</v>
      </c>
      <c r="B493">
        <v>3</v>
      </c>
      <c r="C493" s="2">
        <v>15</v>
      </c>
      <c r="D493" s="2">
        <f t="shared" si="7"/>
        <v>45</v>
      </c>
      <c r="E493" t="s">
        <v>7</v>
      </c>
      <c r="G493" s="1">
        <v>45587</v>
      </c>
    </row>
    <row r="494" spans="1:7" x14ac:dyDescent="0.3">
      <c r="A494" t="s">
        <v>182</v>
      </c>
      <c r="B494">
        <v>1</v>
      </c>
      <c r="C494" s="2">
        <v>200</v>
      </c>
      <c r="D494" s="2">
        <f t="shared" si="7"/>
        <v>200</v>
      </c>
      <c r="E494" t="s">
        <v>7</v>
      </c>
      <c r="G494" s="1">
        <v>45587</v>
      </c>
    </row>
    <row r="495" spans="1:7" x14ac:dyDescent="0.3">
      <c r="A495" t="s">
        <v>165</v>
      </c>
      <c r="B495">
        <v>2</v>
      </c>
      <c r="C495" s="2">
        <v>130</v>
      </c>
      <c r="D495" s="2">
        <f t="shared" si="7"/>
        <v>260</v>
      </c>
      <c r="E495" t="s">
        <v>7</v>
      </c>
      <c r="G495" s="1">
        <v>45588</v>
      </c>
    </row>
    <row r="496" spans="1:7" x14ac:dyDescent="0.3">
      <c r="A496" t="s">
        <v>171</v>
      </c>
      <c r="B496">
        <v>1</v>
      </c>
      <c r="C496" s="2">
        <v>130</v>
      </c>
      <c r="D496" s="2">
        <f t="shared" si="7"/>
        <v>130</v>
      </c>
      <c r="E496" t="s">
        <v>7</v>
      </c>
      <c r="G496" s="1">
        <v>45588</v>
      </c>
    </row>
    <row r="497" spans="1:7" x14ac:dyDescent="0.3">
      <c r="A497" t="s">
        <v>162</v>
      </c>
      <c r="B497">
        <v>4</v>
      </c>
      <c r="C497" s="2">
        <v>15</v>
      </c>
      <c r="D497" s="2">
        <f t="shared" si="7"/>
        <v>60</v>
      </c>
      <c r="E497" t="s">
        <v>7</v>
      </c>
      <c r="G497" s="1">
        <v>45588</v>
      </c>
    </row>
    <row r="498" spans="1:7" x14ac:dyDescent="0.3">
      <c r="A498" t="s">
        <v>14</v>
      </c>
      <c r="B498">
        <v>2</v>
      </c>
      <c r="C498" s="2">
        <v>15</v>
      </c>
      <c r="D498" s="2">
        <f t="shared" si="7"/>
        <v>30</v>
      </c>
      <c r="E498" t="s">
        <v>7</v>
      </c>
      <c r="G498" s="1">
        <v>45588</v>
      </c>
    </row>
    <row r="499" spans="1:7" x14ac:dyDescent="0.3">
      <c r="A499" t="s">
        <v>171</v>
      </c>
      <c r="B499">
        <v>1</v>
      </c>
      <c r="C499" s="2">
        <v>150</v>
      </c>
      <c r="D499" s="2">
        <f t="shared" si="7"/>
        <v>150</v>
      </c>
      <c r="E499" t="s">
        <v>7</v>
      </c>
      <c r="G499" s="1">
        <v>45589</v>
      </c>
    </row>
    <row r="500" spans="1:7" x14ac:dyDescent="0.3">
      <c r="A500" t="s">
        <v>50</v>
      </c>
      <c r="B500">
        <v>1</v>
      </c>
      <c r="C500" s="2">
        <v>65</v>
      </c>
      <c r="D500" s="2">
        <f t="shared" si="7"/>
        <v>65</v>
      </c>
      <c r="E500" t="s">
        <v>7</v>
      </c>
      <c r="G500" s="1">
        <v>45589</v>
      </c>
    </row>
    <row r="501" spans="1:7" x14ac:dyDescent="0.3">
      <c r="A501" t="s">
        <v>167</v>
      </c>
      <c r="B501">
        <v>2</v>
      </c>
      <c r="C501" s="2">
        <v>220</v>
      </c>
      <c r="D501" s="2">
        <f t="shared" si="7"/>
        <v>440</v>
      </c>
      <c r="E501" t="s">
        <v>7</v>
      </c>
      <c r="G501" s="1">
        <v>45589</v>
      </c>
    </row>
    <row r="502" spans="1:7" x14ac:dyDescent="0.3">
      <c r="A502" t="s">
        <v>171</v>
      </c>
      <c r="B502">
        <v>1</v>
      </c>
      <c r="C502" s="2">
        <v>120</v>
      </c>
      <c r="D502" s="2">
        <f t="shared" si="7"/>
        <v>120</v>
      </c>
      <c r="E502" t="s">
        <v>7</v>
      </c>
      <c r="G502" s="1">
        <v>45589</v>
      </c>
    </row>
    <row r="503" spans="1:7" x14ac:dyDescent="0.3">
      <c r="A503" t="s">
        <v>162</v>
      </c>
      <c r="B503">
        <v>1</v>
      </c>
      <c r="C503" s="2">
        <v>15</v>
      </c>
      <c r="D503" s="2">
        <f t="shared" si="7"/>
        <v>15</v>
      </c>
      <c r="E503" t="s">
        <v>7</v>
      </c>
      <c r="G503" s="1">
        <v>45589</v>
      </c>
    </row>
    <row r="504" spans="1:7" x14ac:dyDescent="0.3">
      <c r="A504" t="s">
        <v>170</v>
      </c>
      <c r="B504">
        <v>1</v>
      </c>
      <c r="C504" s="2">
        <v>150</v>
      </c>
      <c r="D504" s="2">
        <f t="shared" si="7"/>
        <v>150</v>
      </c>
      <c r="E504" t="s">
        <v>7</v>
      </c>
      <c r="G504" s="1">
        <v>45589</v>
      </c>
    </row>
    <row r="505" spans="1:7" x14ac:dyDescent="0.3">
      <c r="A505" t="s">
        <v>178</v>
      </c>
      <c r="B505">
        <v>8</v>
      </c>
      <c r="C505" s="2">
        <v>200</v>
      </c>
      <c r="D505" s="2">
        <f t="shared" si="7"/>
        <v>1600</v>
      </c>
      <c r="E505" t="s">
        <v>60</v>
      </c>
      <c r="F505" t="s">
        <v>17</v>
      </c>
      <c r="G505" s="1">
        <v>45589</v>
      </c>
    </row>
    <row r="506" spans="1:7" x14ac:dyDescent="0.3">
      <c r="A506" t="s">
        <v>170</v>
      </c>
      <c r="B506">
        <v>3</v>
      </c>
      <c r="C506" s="2">
        <v>250</v>
      </c>
      <c r="D506" s="2">
        <f t="shared" si="7"/>
        <v>750</v>
      </c>
      <c r="E506" t="s">
        <v>60</v>
      </c>
      <c r="F506" t="s">
        <v>17</v>
      </c>
      <c r="G506" s="1">
        <v>45589</v>
      </c>
    </row>
    <row r="507" spans="1:7" x14ac:dyDescent="0.3">
      <c r="A507" t="s">
        <v>98</v>
      </c>
      <c r="B507">
        <v>2</v>
      </c>
      <c r="C507" s="2">
        <v>350</v>
      </c>
      <c r="D507" s="2">
        <f t="shared" si="7"/>
        <v>700</v>
      </c>
      <c r="E507" t="s">
        <v>60</v>
      </c>
      <c r="F507" t="s">
        <v>17</v>
      </c>
      <c r="G507" s="1">
        <v>45589</v>
      </c>
    </row>
    <row r="508" spans="1:7" x14ac:dyDescent="0.3">
      <c r="A508" t="s">
        <v>174</v>
      </c>
      <c r="B508">
        <v>1</v>
      </c>
      <c r="C508" s="2">
        <v>400</v>
      </c>
      <c r="D508" s="2">
        <f t="shared" si="7"/>
        <v>400</v>
      </c>
      <c r="E508" t="s">
        <v>7</v>
      </c>
      <c r="G508" s="1">
        <v>45590</v>
      </c>
    </row>
    <row r="509" spans="1:7" x14ac:dyDescent="0.3">
      <c r="A509" t="s">
        <v>174</v>
      </c>
      <c r="B509">
        <v>0.2</v>
      </c>
      <c r="C509" s="2">
        <v>400</v>
      </c>
      <c r="D509" s="2">
        <f t="shared" si="7"/>
        <v>80</v>
      </c>
      <c r="E509" t="s">
        <v>7</v>
      </c>
      <c r="G509" s="1">
        <v>45590</v>
      </c>
    </row>
    <row r="510" spans="1:7" x14ac:dyDescent="0.3">
      <c r="A510" t="s">
        <v>176</v>
      </c>
      <c r="B510">
        <v>0.4</v>
      </c>
      <c r="C510" s="2">
        <v>400</v>
      </c>
      <c r="D510" s="2">
        <f t="shared" si="7"/>
        <v>160</v>
      </c>
      <c r="E510" t="s">
        <v>7</v>
      </c>
      <c r="G510" s="1">
        <v>45590</v>
      </c>
    </row>
    <row r="511" spans="1:7" x14ac:dyDescent="0.3">
      <c r="A511" t="s">
        <v>171</v>
      </c>
      <c r="B511">
        <v>1</v>
      </c>
      <c r="C511" s="2">
        <v>100</v>
      </c>
      <c r="D511" s="2">
        <f t="shared" si="7"/>
        <v>100</v>
      </c>
      <c r="E511" t="s">
        <v>7</v>
      </c>
      <c r="G511" s="1">
        <v>45590</v>
      </c>
    </row>
    <row r="512" spans="1:7" x14ac:dyDescent="0.3">
      <c r="A512" t="s">
        <v>170</v>
      </c>
      <c r="B512">
        <v>2</v>
      </c>
      <c r="C512" s="2">
        <v>150</v>
      </c>
      <c r="D512" s="2">
        <f t="shared" si="7"/>
        <v>300</v>
      </c>
      <c r="E512" t="s">
        <v>7</v>
      </c>
      <c r="G512" s="1">
        <v>45590</v>
      </c>
    </row>
    <row r="513" spans="1:7" x14ac:dyDescent="0.3">
      <c r="A513" t="s">
        <v>14</v>
      </c>
      <c r="B513">
        <v>1</v>
      </c>
      <c r="C513" s="2">
        <v>15</v>
      </c>
      <c r="D513" s="2">
        <f t="shared" si="7"/>
        <v>15</v>
      </c>
      <c r="E513" t="s">
        <v>7</v>
      </c>
      <c r="G513" s="1">
        <v>45590</v>
      </c>
    </row>
    <row r="514" spans="1:7" x14ac:dyDescent="0.3">
      <c r="A514" t="s">
        <v>174</v>
      </c>
      <c r="B514">
        <v>0.4</v>
      </c>
      <c r="C514" s="2">
        <v>450</v>
      </c>
      <c r="D514" s="2">
        <f t="shared" si="7"/>
        <v>180</v>
      </c>
      <c r="E514" t="s">
        <v>7</v>
      </c>
      <c r="G514" s="1">
        <v>45591</v>
      </c>
    </row>
    <row r="515" spans="1:7" x14ac:dyDescent="0.3">
      <c r="A515" t="s">
        <v>202</v>
      </c>
      <c r="B515">
        <v>1</v>
      </c>
      <c r="C515" s="2">
        <v>120</v>
      </c>
      <c r="D515" s="2">
        <f t="shared" ref="D515:D578" si="8">B515*C515</f>
        <v>120</v>
      </c>
      <c r="E515" t="s">
        <v>7</v>
      </c>
      <c r="G515" s="1">
        <v>45591</v>
      </c>
    </row>
    <row r="516" spans="1:7" x14ac:dyDescent="0.3">
      <c r="A516" t="s">
        <v>165</v>
      </c>
      <c r="B516">
        <v>1</v>
      </c>
      <c r="C516" s="2">
        <v>160</v>
      </c>
      <c r="D516" s="2">
        <f t="shared" si="8"/>
        <v>160</v>
      </c>
      <c r="E516" t="s">
        <v>7</v>
      </c>
      <c r="G516" s="1">
        <v>45591</v>
      </c>
    </row>
    <row r="517" spans="1:7" x14ac:dyDescent="0.3">
      <c r="A517" t="s">
        <v>178</v>
      </c>
      <c r="B517">
        <v>1</v>
      </c>
      <c r="C517" s="2">
        <v>150</v>
      </c>
      <c r="D517" s="2">
        <f t="shared" si="8"/>
        <v>150</v>
      </c>
      <c r="E517" t="s">
        <v>7</v>
      </c>
      <c r="G517" s="1">
        <v>45591</v>
      </c>
    </row>
    <row r="518" spans="1:7" x14ac:dyDescent="0.3">
      <c r="A518" t="s">
        <v>165</v>
      </c>
      <c r="B518">
        <v>1</v>
      </c>
      <c r="C518" s="2">
        <v>150</v>
      </c>
      <c r="D518" s="2">
        <f t="shared" si="8"/>
        <v>150</v>
      </c>
      <c r="E518" t="s">
        <v>7</v>
      </c>
      <c r="G518" s="1">
        <v>45591</v>
      </c>
    </row>
    <row r="519" spans="1:7" x14ac:dyDescent="0.3">
      <c r="A519" t="s">
        <v>202</v>
      </c>
      <c r="B519">
        <v>1</v>
      </c>
      <c r="C519" s="2">
        <v>100</v>
      </c>
      <c r="D519" s="2">
        <f t="shared" si="8"/>
        <v>100</v>
      </c>
      <c r="E519" t="s">
        <v>7</v>
      </c>
      <c r="G519" s="1">
        <v>45591</v>
      </c>
    </row>
    <row r="520" spans="1:7" x14ac:dyDescent="0.3">
      <c r="A520" t="s">
        <v>170</v>
      </c>
      <c r="B520">
        <v>1</v>
      </c>
      <c r="C520" s="2">
        <v>280</v>
      </c>
      <c r="D520" s="2">
        <f t="shared" si="8"/>
        <v>280</v>
      </c>
      <c r="E520" t="s">
        <v>7</v>
      </c>
      <c r="G520" s="1">
        <v>45591</v>
      </c>
    </row>
    <row r="521" spans="1:7" x14ac:dyDescent="0.3">
      <c r="A521" t="s">
        <v>171</v>
      </c>
      <c r="B521">
        <v>1</v>
      </c>
      <c r="C521" s="2">
        <v>100</v>
      </c>
      <c r="D521" s="2">
        <f t="shared" si="8"/>
        <v>100</v>
      </c>
      <c r="E521" t="s">
        <v>7</v>
      </c>
      <c r="G521" s="1">
        <v>45591</v>
      </c>
    </row>
    <row r="522" spans="1:7" x14ac:dyDescent="0.3">
      <c r="A522" t="s">
        <v>14</v>
      </c>
      <c r="B522">
        <v>2</v>
      </c>
      <c r="C522" s="2">
        <v>15</v>
      </c>
      <c r="D522" s="2">
        <f t="shared" si="8"/>
        <v>30</v>
      </c>
      <c r="E522" t="s">
        <v>7</v>
      </c>
      <c r="G522" s="1">
        <v>45591</v>
      </c>
    </row>
    <row r="523" spans="1:7" x14ac:dyDescent="0.3">
      <c r="A523" t="s">
        <v>162</v>
      </c>
      <c r="B523">
        <v>1</v>
      </c>
      <c r="C523" s="2">
        <v>15</v>
      </c>
      <c r="D523" s="2">
        <f t="shared" si="8"/>
        <v>15</v>
      </c>
      <c r="E523" t="s">
        <v>7</v>
      </c>
      <c r="G523" s="1">
        <v>45592</v>
      </c>
    </row>
    <row r="524" spans="1:7" x14ac:dyDescent="0.3">
      <c r="A524" t="s">
        <v>44</v>
      </c>
      <c r="B524">
        <v>1</v>
      </c>
      <c r="C524" s="2">
        <v>90</v>
      </c>
      <c r="D524" s="2">
        <f t="shared" si="8"/>
        <v>90</v>
      </c>
      <c r="E524" t="s">
        <v>7</v>
      </c>
      <c r="G524" s="1">
        <v>45592</v>
      </c>
    </row>
    <row r="525" spans="1:7" x14ac:dyDescent="0.3">
      <c r="A525" t="s">
        <v>188</v>
      </c>
      <c r="B525">
        <v>1</v>
      </c>
      <c r="C525" s="2">
        <v>100</v>
      </c>
      <c r="D525" s="2">
        <f t="shared" si="8"/>
        <v>100</v>
      </c>
      <c r="E525" t="s">
        <v>7</v>
      </c>
      <c r="G525" s="1">
        <v>45592</v>
      </c>
    </row>
    <row r="526" spans="1:7" x14ac:dyDescent="0.3">
      <c r="A526" t="s">
        <v>41</v>
      </c>
      <c r="B526">
        <v>1</v>
      </c>
      <c r="C526" s="2">
        <v>80</v>
      </c>
      <c r="D526" s="2">
        <f t="shared" si="8"/>
        <v>80</v>
      </c>
      <c r="E526" t="s">
        <v>7</v>
      </c>
      <c r="G526" s="1">
        <v>45592</v>
      </c>
    </row>
    <row r="527" spans="1:7" x14ac:dyDescent="0.3">
      <c r="A527" t="s">
        <v>165</v>
      </c>
      <c r="B527">
        <v>1</v>
      </c>
      <c r="C527" s="2">
        <v>190</v>
      </c>
      <c r="D527" s="2">
        <f t="shared" si="8"/>
        <v>190</v>
      </c>
      <c r="E527" t="s">
        <v>7</v>
      </c>
      <c r="G527" s="1">
        <v>45592</v>
      </c>
    </row>
    <row r="528" spans="1:7" x14ac:dyDescent="0.3">
      <c r="A528" t="s">
        <v>205</v>
      </c>
      <c r="B528">
        <v>40</v>
      </c>
      <c r="C528" s="2">
        <v>425</v>
      </c>
      <c r="D528" s="2">
        <f t="shared" si="8"/>
        <v>17000</v>
      </c>
      <c r="E528" t="s">
        <v>62</v>
      </c>
      <c r="F528" t="s">
        <v>17</v>
      </c>
      <c r="G528" s="1">
        <v>45592</v>
      </c>
    </row>
    <row r="529" spans="1:7" x14ac:dyDescent="0.3">
      <c r="A529" t="s">
        <v>69</v>
      </c>
      <c r="B529">
        <v>80</v>
      </c>
      <c r="C529" s="2">
        <v>500</v>
      </c>
      <c r="D529" s="2">
        <f t="shared" si="8"/>
        <v>40000</v>
      </c>
      <c r="E529" t="s">
        <v>62</v>
      </c>
      <c r="F529" t="s">
        <v>17</v>
      </c>
      <c r="G529" s="1">
        <v>45592</v>
      </c>
    </row>
    <row r="530" spans="1:7" x14ac:dyDescent="0.3">
      <c r="A530" t="s">
        <v>99</v>
      </c>
      <c r="B530">
        <v>8</v>
      </c>
      <c r="C530" s="2">
        <v>1185</v>
      </c>
      <c r="D530" s="2">
        <f t="shared" si="8"/>
        <v>9480</v>
      </c>
      <c r="E530" t="s">
        <v>62</v>
      </c>
      <c r="F530" t="s">
        <v>17</v>
      </c>
      <c r="G530" s="1">
        <v>45592</v>
      </c>
    </row>
    <row r="531" spans="1:7" x14ac:dyDescent="0.3">
      <c r="A531" t="s">
        <v>100</v>
      </c>
      <c r="B531">
        <v>12</v>
      </c>
      <c r="C531" s="2">
        <v>875</v>
      </c>
      <c r="D531" s="2">
        <f t="shared" si="8"/>
        <v>10500</v>
      </c>
      <c r="E531" t="s">
        <v>62</v>
      </c>
      <c r="F531" t="s">
        <v>17</v>
      </c>
      <c r="G531" s="1">
        <v>45592</v>
      </c>
    </row>
    <row r="532" spans="1:7" x14ac:dyDescent="0.3">
      <c r="A532" t="s">
        <v>185</v>
      </c>
      <c r="B532">
        <v>50</v>
      </c>
      <c r="C532" s="2">
        <v>670</v>
      </c>
      <c r="D532" s="2">
        <f t="shared" si="8"/>
        <v>33500</v>
      </c>
      <c r="E532" t="s">
        <v>62</v>
      </c>
      <c r="F532" t="s">
        <v>17</v>
      </c>
      <c r="G532" s="1">
        <v>45592</v>
      </c>
    </row>
    <row r="533" spans="1:7" x14ac:dyDescent="0.3">
      <c r="A533" t="s">
        <v>204</v>
      </c>
      <c r="B533">
        <v>120</v>
      </c>
      <c r="C533" s="2">
        <v>370</v>
      </c>
      <c r="D533" s="2">
        <f t="shared" si="8"/>
        <v>44400</v>
      </c>
      <c r="E533" t="s">
        <v>62</v>
      </c>
      <c r="F533" t="s">
        <v>17</v>
      </c>
      <c r="G533" s="1">
        <v>45592</v>
      </c>
    </row>
    <row r="534" spans="1:7" x14ac:dyDescent="0.3">
      <c r="A534" t="s">
        <v>13</v>
      </c>
      <c r="B534">
        <v>135</v>
      </c>
      <c r="C534" s="2">
        <v>235</v>
      </c>
      <c r="D534" s="2">
        <f t="shared" si="8"/>
        <v>31725</v>
      </c>
      <c r="E534" t="s">
        <v>62</v>
      </c>
      <c r="F534" t="s">
        <v>17</v>
      </c>
      <c r="G534" s="1">
        <v>45592</v>
      </c>
    </row>
    <row r="535" spans="1:7" x14ac:dyDescent="0.3">
      <c r="A535" t="s">
        <v>101</v>
      </c>
      <c r="B535">
        <v>480</v>
      </c>
      <c r="C535" s="2">
        <v>210</v>
      </c>
      <c r="D535" s="2">
        <f t="shared" si="8"/>
        <v>100800</v>
      </c>
      <c r="E535" t="s">
        <v>62</v>
      </c>
      <c r="F535" t="s">
        <v>17</v>
      </c>
      <c r="G535" s="1">
        <v>45592</v>
      </c>
    </row>
    <row r="536" spans="1:7" x14ac:dyDescent="0.3">
      <c r="A536" t="s">
        <v>92</v>
      </c>
      <c r="B536">
        <v>24</v>
      </c>
      <c r="C536" s="2">
        <v>225</v>
      </c>
      <c r="D536" s="2">
        <f t="shared" si="8"/>
        <v>5400</v>
      </c>
      <c r="E536" t="s">
        <v>62</v>
      </c>
      <c r="F536" t="s">
        <v>17</v>
      </c>
      <c r="G536" s="1">
        <v>45592</v>
      </c>
    </row>
    <row r="537" spans="1:7" x14ac:dyDescent="0.3">
      <c r="A537" t="s">
        <v>200</v>
      </c>
      <c r="B537">
        <v>12</v>
      </c>
      <c r="C537" s="2">
        <v>220</v>
      </c>
      <c r="D537" s="2">
        <f t="shared" si="8"/>
        <v>2640</v>
      </c>
      <c r="E537" t="s">
        <v>62</v>
      </c>
      <c r="F537" t="s">
        <v>17</v>
      </c>
      <c r="G537" s="1">
        <v>45592</v>
      </c>
    </row>
    <row r="538" spans="1:7" x14ac:dyDescent="0.3">
      <c r="A538" t="s">
        <v>197</v>
      </c>
      <c r="B538">
        <v>12</v>
      </c>
      <c r="C538" s="2">
        <v>190</v>
      </c>
      <c r="D538" s="2">
        <f t="shared" si="8"/>
        <v>2280</v>
      </c>
      <c r="E538" t="s">
        <v>62</v>
      </c>
      <c r="F538" t="s">
        <v>17</v>
      </c>
      <c r="G538" s="1">
        <v>45592</v>
      </c>
    </row>
    <row r="539" spans="1:7" x14ac:dyDescent="0.3">
      <c r="A539" t="s">
        <v>101</v>
      </c>
      <c r="B539">
        <v>8</v>
      </c>
      <c r="C539" s="2">
        <v>200</v>
      </c>
      <c r="D539" s="2">
        <f t="shared" si="8"/>
        <v>1600</v>
      </c>
      <c r="E539" t="s">
        <v>62</v>
      </c>
      <c r="F539" t="s">
        <v>17</v>
      </c>
      <c r="G539" s="1">
        <v>45592</v>
      </c>
    </row>
    <row r="540" spans="1:7" x14ac:dyDescent="0.3">
      <c r="A540" t="s">
        <v>174</v>
      </c>
      <c r="B540">
        <v>95</v>
      </c>
      <c r="C540" s="2">
        <v>480</v>
      </c>
      <c r="D540" s="2">
        <f t="shared" si="8"/>
        <v>45600</v>
      </c>
      <c r="E540" t="s">
        <v>62</v>
      </c>
      <c r="F540" t="s">
        <v>17</v>
      </c>
      <c r="G540" s="1">
        <v>45594</v>
      </c>
    </row>
    <row r="541" spans="1:7" x14ac:dyDescent="0.3">
      <c r="A541" t="s">
        <v>176</v>
      </c>
      <c r="B541">
        <v>35</v>
      </c>
      <c r="C541" s="2">
        <v>410</v>
      </c>
      <c r="D541" s="2">
        <f t="shared" si="8"/>
        <v>14350</v>
      </c>
      <c r="E541" t="s">
        <v>62</v>
      </c>
      <c r="F541" t="s">
        <v>17</v>
      </c>
      <c r="G541" s="1">
        <v>45594</v>
      </c>
    </row>
    <row r="542" spans="1:7" x14ac:dyDescent="0.3">
      <c r="A542" t="s">
        <v>179</v>
      </c>
      <c r="B542">
        <v>140</v>
      </c>
      <c r="C542" s="2">
        <v>230</v>
      </c>
      <c r="D542" s="2">
        <f t="shared" si="8"/>
        <v>32200</v>
      </c>
      <c r="E542" t="s">
        <v>62</v>
      </c>
      <c r="F542" t="s">
        <v>17</v>
      </c>
      <c r="G542" s="1">
        <v>45594</v>
      </c>
    </row>
    <row r="543" spans="1:7" x14ac:dyDescent="0.3">
      <c r="A543" t="s">
        <v>65</v>
      </c>
      <c r="B543">
        <v>108</v>
      </c>
      <c r="C543" s="2">
        <v>290</v>
      </c>
      <c r="D543" s="2">
        <f t="shared" si="8"/>
        <v>31320</v>
      </c>
      <c r="E543" t="s">
        <v>62</v>
      </c>
      <c r="F543" t="s">
        <v>17</v>
      </c>
      <c r="G543" s="1">
        <v>45594</v>
      </c>
    </row>
    <row r="544" spans="1:7" x14ac:dyDescent="0.3">
      <c r="A544" t="s">
        <v>233</v>
      </c>
      <c r="B544">
        <v>80</v>
      </c>
      <c r="C544" s="2">
        <v>230</v>
      </c>
      <c r="D544" s="2">
        <f t="shared" si="8"/>
        <v>18400</v>
      </c>
      <c r="E544" t="s">
        <v>62</v>
      </c>
      <c r="F544" t="s">
        <v>17</v>
      </c>
      <c r="G544" s="1">
        <v>45594</v>
      </c>
    </row>
    <row r="545" spans="1:7" x14ac:dyDescent="0.3">
      <c r="A545" t="s">
        <v>203</v>
      </c>
      <c r="B545">
        <v>100</v>
      </c>
      <c r="C545" s="2">
        <v>205</v>
      </c>
      <c r="D545" s="2">
        <f t="shared" si="8"/>
        <v>20500</v>
      </c>
      <c r="E545" t="s">
        <v>62</v>
      </c>
      <c r="F545" t="s">
        <v>17</v>
      </c>
      <c r="G545" s="1">
        <v>45594</v>
      </c>
    </row>
    <row r="546" spans="1:7" x14ac:dyDescent="0.3">
      <c r="A546" t="s">
        <v>201</v>
      </c>
      <c r="B546">
        <v>96</v>
      </c>
      <c r="C546" s="2">
        <v>605</v>
      </c>
      <c r="D546" s="2">
        <f t="shared" si="8"/>
        <v>58080</v>
      </c>
      <c r="E546" t="s">
        <v>62</v>
      </c>
      <c r="F546" t="s">
        <v>17</v>
      </c>
      <c r="G546" s="1">
        <v>45594</v>
      </c>
    </row>
    <row r="547" spans="1:7" x14ac:dyDescent="0.3">
      <c r="A547" t="s">
        <v>170</v>
      </c>
      <c r="B547">
        <v>80</v>
      </c>
      <c r="C547" s="2">
        <v>230</v>
      </c>
      <c r="D547" s="2">
        <f t="shared" si="8"/>
        <v>18400</v>
      </c>
      <c r="E547" t="s">
        <v>62</v>
      </c>
      <c r="F547" t="s">
        <v>17</v>
      </c>
      <c r="G547" s="1">
        <v>45594</v>
      </c>
    </row>
    <row r="548" spans="1:7" x14ac:dyDescent="0.3">
      <c r="A548" t="s">
        <v>171</v>
      </c>
      <c r="B548">
        <v>100</v>
      </c>
      <c r="C548" s="2">
        <v>115</v>
      </c>
      <c r="D548" s="2">
        <f t="shared" si="8"/>
        <v>11500</v>
      </c>
      <c r="E548" t="s">
        <v>62</v>
      </c>
      <c r="F548" t="s">
        <v>17</v>
      </c>
      <c r="G548" s="1">
        <v>45594</v>
      </c>
    </row>
    <row r="549" spans="1:7" x14ac:dyDescent="0.3">
      <c r="A549" t="s">
        <v>204</v>
      </c>
      <c r="B549">
        <v>108</v>
      </c>
      <c r="C549" s="2">
        <v>370</v>
      </c>
      <c r="D549" s="2">
        <f t="shared" si="8"/>
        <v>39960</v>
      </c>
      <c r="E549" t="s">
        <v>62</v>
      </c>
      <c r="F549" t="s">
        <v>17</v>
      </c>
      <c r="G549" s="1">
        <v>45594</v>
      </c>
    </row>
    <row r="550" spans="1:7" x14ac:dyDescent="0.3">
      <c r="A550" t="s">
        <v>169</v>
      </c>
      <c r="B550">
        <v>480</v>
      </c>
      <c r="C550" s="2">
        <v>85</v>
      </c>
      <c r="D550" s="2">
        <f t="shared" si="8"/>
        <v>40800</v>
      </c>
      <c r="E550" t="s">
        <v>62</v>
      </c>
      <c r="F550" t="s">
        <v>17</v>
      </c>
      <c r="G550" s="1">
        <v>45594</v>
      </c>
    </row>
    <row r="551" spans="1:7" x14ac:dyDescent="0.3">
      <c r="A551" t="s">
        <v>162</v>
      </c>
      <c r="B551">
        <v>1</v>
      </c>
      <c r="C551" s="2">
        <v>15</v>
      </c>
      <c r="D551" s="2">
        <f t="shared" si="8"/>
        <v>15</v>
      </c>
      <c r="E551" t="s">
        <v>7</v>
      </c>
      <c r="G551" s="1">
        <v>45594</v>
      </c>
    </row>
    <row r="552" spans="1:7" x14ac:dyDescent="0.3">
      <c r="A552" t="s">
        <v>225</v>
      </c>
      <c r="B552">
        <v>1</v>
      </c>
      <c r="C552" s="2">
        <v>40</v>
      </c>
      <c r="D552" s="2">
        <f t="shared" si="8"/>
        <v>40</v>
      </c>
      <c r="E552" t="s">
        <v>7</v>
      </c>
      <c r="G552" s="1">
        <v>45594</v>
      </c>
    </row>
    <row r="553" spans="1:7" x14ac:dyDescent="0.3">
      <c r="A553" t="s">
        <v>165</v>
      </c>
      <c r="B553">
        <v>1</v>
      </c>
      <c r="C553" s="2">
        <v>150</v>
      </c>
      <c r="D553" s="2">
        <f t="shared" si="8"/>
        <v>150</v>
      </c>
      <c r="E553" t="s">
        <v>7</v>
      </c>
      <c r="G553" s="1">
        <v>45596</v>
      </c>
    </row>
    <row r="554" spans="1:7" x14ac:dyDescent="0.3">
      <c r="A554" t="s">
        <v>162</v>
      </c>
      <c r="B554">
        <v>2</v>
      </c>
      <c r="C554" s="2">
        <v>15</v>
      </c>
      <c r="D554" s="2">
        <f t="shared" si="8"/>
        <v>30</v>
      </c>
      <c r="E554" t="s">
        <v>7</v>
      </c>
      <c r="G554" s="1">
        <v>45596</v>
      </c>
    </row>
    <row r="555" spans="1:7" x14ac:dyDescent="0.3">
      <c r="A555" t="s">
        <v>233</v>
      </c>
      <c r="B555">
        <v>2</v>
      </c>
      <c r="C555" s="2">
        <v>300</v>
      </c>
      <c r="D555" s="2">
        <f t="shared" si="8"/>
        <v>600</v>
      </c>
      <c r="E555" t="s">
        <v>7</v>
      </c>
      <c r="F555" t="s">
        <v>17</v>
      </c>
      <c r="G555" s="1">
        <v>45596</v>
      </c>
    </row>
    <row r="556" spans="1:7" x14ac:dyDescent="0.3">
      <c r="A556" t="s">
        <v>171</v>
      </c>
      <c r="B556">
        <v>3</v>
      </c>
      <c r="C556" s="2">
        <v>200</v>
      </c>
      <c r="D556" s="2">
        <f t="shared" si="8"/>
        <v>600</v>
      </c>
      <c r="E556" t="s">
        <v>7</v>
      </c>
      <c r="F556" t="s">
        <v>17</v>
      </c>
      <c r="G556" s="1">
        <v>45596</v>
      </c>
    </row>
    <row r="557" spans="1:7" x14ac:dyDescent="0.3">
      <c r="A557" t="s">
        <v>174</v>
      </c>
      <c r="B557">
        <v>0.2</v>
      </c>
      <c r="C557" s="2">
        <v>500</v>
      </c>
      <c r="D557" s="2">
        <f t="shared" si="8"/>
        <v>100</v>
      </c>
      <c r="E557" t="s">
        <v>7</v>
      </c>
      <c r="G557" s="1">
        <v>45596</v>
      </c>
    </row>
    <row r="558" spans="1:7" x14ac:dyDescent="0.3">
      <c r="A558" t="s">
        <v>176</v>
      </c>
      <c r="B558">
        <v>0.2</v>
      </c>
      <c r="C558" s="2">
        <v>500</v>
      </c>
      <c r="D558" s="2">
        <f t="shared" si="8"/>
        <v>100</v>
      </c>
      <c r="E558" t="s">
        <v>7</v>
      </c>
      <c r="G558" s="1">
        <v>45596</v>
      </c>
    </row>
    <row r="559" spans="1:7" x14ac:dyDescent="0.3">
      <c r="A559" t="s">
        <v>162</v>
      </c>
      <c r="B559">
        <v>2</v>
      </c>
      <c r="C559" s="2">
        <v>20</v>
      </c>
      <c r="D559" s="2">
        <f t="shared" si="8"/>
        <v>40</v>
      </c>
      <c r="E559" t="s">
        <v>7</v>
      </c>
      <c r="G559" s="1">
        <v>45596</v>
      </c>
    </row>
    <row r="560" spans="1:7" x14ac:dyDescent="0.3">
      <c r="A560" t="s">
        <v>225</v>
      </c>
      <c r="B560">
        <v>2</v>
      </c>
      <c r="C560" s="2">
        <v>50</v>
      </c>
      <c r="D560" s="2">
        <f t="shared" si="8"/>
        <v>100</v>
      </c>
      <c r="E560" t="s">
        <v>7</v>
      </c>
      <c r="G560" s="1">
        <v>45596</v>
      </c>
    </row>
    <row r="561" spans="1:9" x14ac:dyDescent="0.3">
      <c r="A561" t="s">
        <v>65</v>
      </c>
      <c r="B561">
        <v>4</v>
      </c>
      <c r="C561" s="2">
        <v>350</v>
      </c>
      <c r="D561" s="2">
        <f t="shared" si="8"/>
        <v>1400</v>
      </c>
      <c r="E561" t="s">
        <v>60</v>
      </c>
      <c r="F561" t="s">
        <v>17</v>
      </c>
      <c r="G561" s="1">
        <v>45596</v>
      </c>
    </row>
    <row r="562" spans="1:9" x14ac:dyDescent="0.3">
      <c r="A562" t="s">
        <v>178</v>
      </c>
      <c r="B562">
        <v>6</v>
      </c>
      <c r="C562" s="2">
        <v>220</v>
      </c>
      <c r="D562" s="2">
        <f t="shared" si="8"/>
        <v>1320</v>
      </c>
      <c r="E562" t="s">
        <v>60</v>
      </c>
      <c r="F562" t="s">
        <v>17</v>
      </c>
      <c r="G562" s="1">
        <v>45596</v>
      </c>
    </row>
    <row r="563" spans="1:9" x14ac:dyDescent="0.3">
      <c r="A563" t="s">
        <v>167</v>
      </c>
      <c r="B563">
        <v>2</v>
      </c>
      <c r="C563" s="2">
        <v>350</v>
      </c>
      <c r="D563" s="2">
        <f t="shared" si="8"/>
        <v>700</v>
      </c>
      <c r="E563" t="s">
        <v>60</v>
      </c>
      <c r="F563" t="s">
        <v>17</v>
      </c>
      <c r="G563" s="1">
        <v>45596</v>
      </c>
    </row>
    <row r="564" spans="1:9" x14ac:dyDescent="0.3">
      <c r="A564" t="s">
        <v>215</v>
      </c>
      <c r="B564">
        <v>6</v>
      </c>
      <c r="C564" s="2">
        <v>200</v>
      </c>
      <c r="D564" s="2">
        <f t="shared" si="8"/>
        <v>1200</v>
      </c>
      <c r="E564" t="s">
        <v>60</v>
      </c>
      <c r="F564" t="s">
        <v>17</v>
      </c>
      <c r="G564" s="1">
        <v>45596</v>
      </c>
    </row>
    <row r="565" spans="1:9" x14ac:dyDescent="0.3">
      <c r="A565" t="s">
        <v>169</v>
      </c>
      <c r="B565">
        <v>3</v>
      </c>
      <c r="C565" s="2">
        <v>150</v>
      </c>
      <c r="D565" s="2">
        <f t="shared" si="8"/>
        <v>450</v>
      </c>
      <c r="E565" t="s">
        <v>60</v>
      </c>
      <c r="F565" t="s">
        <v>17</v>
      </c>
      <c r="G565" s="1">
        <v>45596</v>
      </c>
      <c r="I565">
        <f>SUBTOTAL(9,B550:B1423)</f>
        <v>5386.2299999999977</v>
      </c>
    </row>
    <row r="566" spans="1:9" x14ac:dyDescent="0.3">
      <c r="A566" t="s">
        <v>103</v>
      </c>
      <c r="B566">
        <v>6</v>
      </c>
      <c r="C566" s="2">
        <v>300</v>
      </c>
      <c r="D566" s="2">
        <f t="shared" si="8"/>
        <v>1800</v>
      </c>
      <c r="E566" t="s">
        <v>60</v>
      </c>
      <c r="F566" t="s">
        <v>17</v>
      </c>
      <c r="G566" s="1">
        <v>45596</v>
      </c>
    </row>
    <row r="567" spans="1:9" x14ac:dyDescent="0.3">
      <c r="A567" t="s">
        <v>185</v>
      </c>
      <c r="B567">
        <v>7</v>
      </c>
      <c r="C567" s="2">
        <v>1250</v>
      </c>
      <c r="D567" s="2">
        <f t="shared" si="8"/>
        <v>8750</v>
      </c>
      <c r="E567" t="s">
        <v>60</v>
      </c>
      <c r="F567" t="s">
        <v>17</v>
      </c>
      <c r="G567" s="1">
        <v>45596</v>
      </c>
    </row>
    <row r="568" spans="1:9" x14ac:dyDescent="0.3">
      <c r="A568" t="s">
        <v>55</v>
      </c>
      <c r="B568">
        <v>2</v>
      </c>
      <c r="C568" s="2">
        <v>1700</v>
      </c>
      <c r="D568" s="2">
        <f t="shared" si="8"/>
        <v>3400</v>
      </c>
      <c r="E568" t="s">
        <v>60</v>
      </c>
      <c r="F568" t="s">
        <v>17</v>
      </c>
      <c r="G568" s="1">
        <v>45596</v>
      </c>
    </row>
    <row r="569" spans="1:9" x14ac:dyDescent="0.3">
      <c r="A569" t="s">
        <v>191</v>
      </c>
      <c r="B569">
        <v>16</v>
      </c>
      <c r="C569" s="2">
        <v>500</v>
      </c>
      <c r="D569" s="2">
        <f t="shared" si="8"/>
        <v>8000</v>
      </c>
      <c r="E569" t="s">
        <v>60</v>
      </c>
      <c r="F569" t="s">
        <v>17</v>
      </c>
      <c r="G569" s="1">
        <v>45596</v>
      </c>
    </row>
    <row r="570" spans="1:9" x14ac:dyDescent="0.3">
      <c r="A570" t="s">
        <v>174</v>
      </c>
      <c r="B570">
        <v>5</v>
      </c>
      <c r="C570" s="2">
        <v>800</v>
      </c>
      <c r="D570" s="2">
        <f t="shared" si="8"/>
        <v>4000</v>
      </c>
      <c r="E570" t="s">
        <v>60</v>
      </c>
      <c r="F570" t="s">
        <v>17</v>
      </c>
      <c r="G570" s="1">
        <v>45596</v>
      </c>
    </row>
    <row r="571" spans="1:9" x14ac:dyDescent="0.3">
      <c r="A571" t="s">
        <v>176</v>
      </c>
      <c r="B571">
        <v>1</v>
      </c>
      <c r="C571" s="2">
        <v>800</v>
      </c>
      <c r="D571" s="2">
        <f t="shared" si="8"/>
        <v>800</v>
      </c>
      <c r="E571" t="s">
        <v>60</v>
      </c>
      <c r="F571" t="s">
        <v>17</v>
      </c>
      <c r="G571" s="1">
        <v>45596</v>
      </c>
    </row>
    <row r="572" spans="1:9" x14ac:dyDescent="0.3">
      <c r="A572" t="s">
        <v>186</v>
      </c>
      <c r="B572">
        <v>5</v>
      </c>
      <c r="C572" s="2">
        <v>500</v>
      </c>
      <c r="D572" s="2">
        <f t="shared" si="8"/>
        <v>2500</v>
      </c>
      <c r="E572" t="s">
        <v>60</v>
      </c>
      <c r="F572" t="s">
        <v>17</v>
      </c>
      <c r="G572" s="1">
        <v>45596</v>
      </c>
    </row>
    <row r="573" spans="1:9" x14ac:dyDescent="0.3">
      <c r="A573" t="s">
        <v>196</v>
      </c>
      <c r="B573">
        <v>2</v>
      </c>
      <c r="C573" s="2">
        <v>300</v>
      </c>
      <c r="D573" s="2">
        <f t="shared" si="8"/>
        <v>600</v>
      </c>
      <c r="E573" t="s">
        <v>60</v>
      </c>
      <c r="F573" t="s">
        <v>17</v>
      </c>
      <c r="G573" s="1">
        <v>45596</v>
      </c>
    </row>
    <row r="574" spans="1:9" x14ac:dyDescent="0.3">
      <c r="A574" t="s">
        <v>78</v>
      </c>
      <c r="B574">
        <v>29</v>
      </c>
      <c r="C574" s="2">
        <v>40</v>
      </c>
      <c r="D574" s="2">
        <f t="shared" si="8"/>
        <v>1160</v>
      </c>
      <c r="E574" t="s">
        <v>60</v>
      </c>
      <c r="F574" t="s">
        <v>17</v>
      </c>
      <c r="G574" s="1">
        <v>45596</v>
      </c>
    </row>
    <row r="575" spans="1:9" x14ac:dyDescent="0.3">
      <c r="A575" t="s">
        <v>167</v>
      </c>
      <c r="B575">
        <v>1</v>
      </c>
      <c r="C575" s="2">
        <v>220</v>
      </c>
      <c r="D575" s="2">
        <f t="shared" si="8"/>
        <v>220</v>
      </c>
      <c r="E575" t="s">
        <v>7</v>
      </c>
      <c r="G575" s="1">
        <v>45598</v>
      </c>
    </row>
    <row r="576" spans="1:9" x14ac:dyDescent="0.3">
      <c r="A576" t="s">
        <v>188</v>
      </c>
      <c r="B576">
        <v>1</v>
      </c>
      <c r="C576" s="2">
        <v>100</v>
      </c>
      <c r="D576" s="2">
        <f t="shared" si="8"/>
        <v>100</v>
      </c>
      <c r="E576" t="s">
        <v>7</v>
      </c>
      <c r="G576" s="1">
        <v>45598</v>
      </c>
    </row>
    <row r="577" spans="1:7" x14ac:dyDescent="0.3">
      <c r="A577" t="s">
        <v>14</v>
      </c>
      <c r="B577">
        <v>2</v>
      </c>
      <c r="C577" s="2">
        <v>15</v>
      </c>
      <c r="D577" s="2">
        <f t="shared" si="8"/>
        <v>30</v>
      </c>
      <c r="E577" t="s">
        <v>7</v>
      </c>
      <c r="G577" s="1">
        <v>45599</v>
      </c>
    </row>
    <row r="578" spans="1:7" x14ac:dyDescent="0.3">
      <c r="A578" t="s">
        <v>173</v>
      </c>
      <c r="B578">
        <v>1</v>
      </c>
      <c r="C578" s="2">
        <v>140</v>
      </c>
      <c r="D578" s="2">
        <f t="shared" si="8"/>
        <v>140</v>
      </c>
      <c r="E578" t="s">
        <v>7</v>
      </c>
      <c r="G578" s="1">
        <v>45599</v>
      </c>
    </row>
    <row r="579" spans="1:7" x14ac:dyDescent="0.3">
      <c r="A579" t="s">
        <v>173</v>
      </c>
      <c r="B579">
        <v>1</v>
      </c>
      <c r="C579" s="2">
        <v>200</v>
      </c>
      <c r="D579" s="2">
        <f t="shared" ref="D579:D642" si="9">B579*C579</f>
        <v>200</v>
      </c>
      <c r="E579" t="s">
        <v>7</v>
      </c>
      <c r="G579" s="1">
        <v>45599</v>
      </c>
    </row>
    <row r="580" spans="1:7" x14ac:dyDescent="0.3">
      <c r="A580" t="s">
        <v>188</v>
      </c>
      <c r="B580">
        <v>1</v>
      </c>
      <c r="C580" s="2">
        <v>100</v>
      </c>
      <c r="D580" s="2">
        <f t="shared" si="9"/>
        <v>100</v>
      </c>
      <c r="E580" t="s">
        <v>7</v>
      </c>
      <c r="G580" s="1">
        <v>45599</v>
      </c>
    </row>
    <row r="581" spans="1:7" x14ac:dyDescent="0.3">
      <c r="A581" t="s">
        <v>212</v>
      </c>
      <c r="B581">
        <v>25</v>
      </c>
      <c r="C581" s="2">
        <v>2000</v>
      </c>
      <c r="D581" s="2">
        <f t="shared" si="9"/>
        <v>50000</v>
      </c>
      <c r="E581" t="s">
        <v>62</v>
      </c>
      <c r="F581" t="s">
        <v>17</v>
      </c>
      <c r="G581" s="1">
        <v>45599</v>
      </c>
    </row>
    <row r="582" spans="1:7" x14ac:dyDescent="0.3">
      <c r="A582" t="s">
        <v>183</v>
      </c>
      <c r="B582">
        <v>72</v>
      </c>
      <c r="C582" s="2">
        <v>450</v>
      </c>
      <c r="D582" s="2">
        <f t="shared" si="9"/>
        <v>32400</v>
      </c>
      <c r="E582" t="s">
        <v>62</v>
      </c>
      <c r="F582" t="s">
        <v>17</v>
      </c>
      <c r="G582" s="1">
        <v>45599</v>
      </c>
    </row>
    <row r="583" spans="1:7" x14ac:dyDescent="0.3">
      <c r="A583" t="s">
        <v>199</v>
      </c>
      <c r="B583">
        <v>60</v>
      </c>
      <c r="C583" s="2">
        <v>270</v>
      </c>
      <c r="D583" s="2">
        <f t="shared" si="9"/>
        <v>16200</v>
      </c>
      <c r="E583" t="s">
        <v>62</v>
      </c>
      <c r="F583" t="s">
        <v>17</v>
      </c>
      <c r="G583" s="1">
        <v>45599</v>
      </c>
    </row>
    <row r="584" spans="1:7" x14ac:dyDescent="0.3">
      <c r="A584" t="s">
        <v>200</v>
      </c>
      <c r="B584">
        <v>120</v>
      </c>
      <c r="C584" s="2">
        <v>220</v>
      </c>
      <c r="D584" s="2">
        <f t="shared" si="9"/>
        <v>26400</v>
      </c>
      <c r="E584" t="s">
        <v>62</v>
      </c>
      <c r="F584" t="s">
        <v>17</v>
      </c>
      <c r="G584" s="1">
        <v>45599</v>
      </c>
    </row>
    <row r="585" spans="1:7" x14ac:dyDescent="0.3">
      <c r="A585" t="s">
        <v>180</v>
      </c>
      <c r="B585">
        <v>60</v>
      </c>
      <c r="C585" s="2">
        <v>185</v>
      </c>
      <c r="D585" s="2">
        <f t="shared" si="9"/>
        <v>11100</v>
      </c>
      <c r="E585" t="s">
        <v>62</v>
      </c>
      <c r="F585" t="s">
        <v>17</v>
      </c>
      <c r="G585" s="1">
        <v>45599</v>
      </c>
    </row>
    <row r="586" spans="1:7" x14ac:dyDescent="0.3">
      <c r="A586" t="s">
        <v>193</v>
      </c>
      <c r="B586">
        <v>60</v>
      </c>
      <c r="C586" s="2">
        <v>195</v>
      </c>
      <c r="D586" s="2">
        <f t="shared" si="9"/>
        <v>11700</v>
      </c>
      <c r="E586" t="s">
        <v>62</v>
      </c>
      <c r="F586" t="s">
        <v>17</v>
      </c>
      <c r="G586" s="1">
        <v>45599</v>
      </c>
    </row>
    <row r="587" spans="1:7" x14ac:dyDescent="0.3">
      <c r="A587" t="s">
        <v>70</v>
      </c>
      <c r="B587">
        <v>80</v>
      </c>
      <c r="C587" s="2">
        <v>400</v>
      </c>
      <c r="D587" s="2">
        <f t="shared" si="9"/>
        <v>32000</v>
      </c>
      <c r="E587" t="s">
        <v>62</v>
      </c>
      <c r="F587" t="s">
        <v>17</v>
      </c>
      <c r="G587" s="1">
        <v>45599</v>
      </c>
    </row>
    <row r="588" spans="1:7" x14ac:dyDescent="0.3">
      <c r="A588" t="s">
        <v>203</v>
      </c>
      <c r="B588">
        <v>20</v>
      </c>
      <c r="C588" s="2">
        <v>325</v>
      </c>
      <c r="D588" s="2">
        <f t="shared" si="9"/>
        <v>6500</v>
      </c>
      <c r="E588" t="s">
        <v>62</v>
      </c>
      <c r="F588" t="s">
        <v>17</v>
      </c>
      <c r="G588" s="1">
        <v>45599</v>
      </c>
    </row>
    <row r="589" spans="1:7" x14ac:dyDescent="0.3">
      <c r="A589" t="s">
        <v>73</v>
      </c>
      <c r="B589">
        <v>60</v>
      </c>
      <c r="C589" s="2">
        <v>250</v>
      </c>
      <c r="D589" s="2">
        <f t="shared" si="9"/>
        <v>15000</v>
      </c>
      <c r="E589" t="s">
        <v>62</v>
      </c>
      <c r="F589" t="s">
        <v>17</v>
      </c>
      <c r="G589" s="1">
        <v>45599</v>
      </c>
    </row>
    <row r="590" spans="1:7" x14ac:dyDescent="0.3">
      <c r="A590" t="s">
        <v>178</v>
      </c>
      <c r="B590">
        <v>30</v>
      </c>
      <c r="C590" s="2">
        <v>90</v>
      </c>
      <c r="D590" s="2">
        <f t="shared" si="9"/>
        <v>2700</v>
      </c>
      <c r="E590" t="s">
        <v>62</v>
      </c>
      <c r="F590" t="s">
        <v>17</v>
      </c>
      <c r="G590" s="1">
        <v>45599</v>
      </c>
    </row>
    <row r="591" spans="1:7" x14ac:dyDescent="0.3">
      <c r="A591" t="s">
        <v>105</v>
      </c>
      <c r="B591">
        <v>30</v>
      </c>
      <c r="C591" s="2">
        <v>220</v>
      </c>
      <c r="D591" s="2">
        <f t="shared" si="9"/>
        <v>6600</v>
      </c>
      <c r="E591" t="s">
        <v>62</v>
      </c>
      <c r="F591" t="s">
        <v>17</v>
      </c>
      <c r="G591" s="1">
        <v>45599</v>
      </c>
    </row>
    <row r="592" spans="1:7" x14ac:dyDescent="0.3">
      <c r="A592" t="s">
        <v>206</v>
      </c>
      <c r="B592">
        <v>50</v>
      </c>
      <c r="C592" s="2">
        <v>210</v>
      </c>
      <c r="D592" s="2">
        <f t="shared" si="9"/>
        <v>10500</v>
      </c>
      <c r="E592" t="s">
        <v>62</v>
      </c>
      <c r="F592" t="s">
        <v>17</v>
      </c>
      <c r="G592" s="1">
        <v>45599</v>
      </c>
    </row>
    <row r="593" spans="1:7" x14ac:dyDescent="0.3">
      <c r="A593" t="s">
        <v>196</v>
      </c>
      <c r="B593">
        <v>24</v>
      </c>
      <c r="C593" s="2">
        <v>210</v>
      </c>
      <c r="D593" s="2">
        <f t="shared" si="9"/>
        <v>5040</v>
      </c>
      <c r="E593" t="s">
        <v>62</v>
      </c>
      <c r="F593" t="s">
        <v>17</v>
      </c>
      <c r="G593" s="1">
        <v>45599</v>
      </c>
    </row>
    <row r="594" spans="1:7" x14ac:dyDescent="0.3">
      <c r="A594" t="s">
        <v>173</v>
      </c>
      <c r="B594">
        <v>1</v>
      </c>
      <c r="C594" s="2">
        <v>200</v>
      </c>
      <c r="D594" s="2">
        <f t="shared" si="9"/>
        <v>200</v>
      </c>
      <c r="E594" t="s">
        <v>7</v>
      </c>
      <c r="G594" s="1">
        <v>45600</v>
      </c>
    </row>
    <row r="595" spans="1:7" x14ac:dyDescent="0.3">
      <c r="A595" t="s">
        <v>14</v>
      </c>
      <c r="B595">
        <v>1</v>
      </c>
      <c r="C595" s="2">
        <v>10</v>
      </c>
      <c r="D595" s="2">
        <f t="shared" si="9"/>
        <v>10</v>
      </c>
      <c r="E595" t="s">
        <v>7</v>
      </c>
      <c r="G595" s="1">
        <v>45600</v>
      </c>
    </row>
    <row r="596" spans="1:7" x14ac:dyDescent="0.3">
      <c r="A596" t="s">
        <v>173</v>
      </c>
      <c r="B596">
        <v>1</v>
      </c>
      <c r="C596" s="2">
        <v>200</v>
      </c>
      <c r="D596" s="2">
        <f t="shared" si="9"/>
        <v>200</v>
      </c>
      <c r="E596" t="s">
        <v>7</v>
      </c>
      <c r="G596" s="1">
        <v>45601</v>
      </c>
    </row>
    <row r="597" spans="1:7" x14ac:dyDescent="0.3">
      <c r="A597" t="s">
        <v>64</v>
      </c>
      <c r="B597">
        <v>1</v>
      </c>
      <c r="C597" s="2">
        <v>250</v>
      </c>
      <c r="D597" s="2">
        <f t="shared" si="9"/>
        <v>250</v>
      </c>
      <c r="E597" t="s">
        <v>7</v>
      </c>
      <c r="G597" s="1">
        <v>45601</v>
      </c>
    </row>
    <row r="598" spans="1:7" x14ac:dyDescent="0.3">
      <c r="A598" t="s">
        <v>173</v>
      </c>
      <c r="B598">
        <v>1</v>
      </c>
      <c r="C598" s="2">
        <v>100</v>
      </c>
      <c r="D598" s="2">
        <f t="shared" si="9"/>
        <v>100</v>
      </c>
      <c r="E598" t="s">
        <v>7</v>
      </c>
      <c r="G598" s="1">
        <v>45602</v>
      </c>
    </row>
    <row r="599" spans="1:7" x14ac:dyDescent="0.3">
      <c r="A599" t="s">
        <v>107</v>
      </c>
      <c r="B599">
        <v>1</v>
      </c>
      <c r="C599" s="2">
        <v>100</v>
      </c>
      <c r="D599" s="2">
        <f t="shared" si="9"/>
        <v>100</v>
      </c>
      <c r="E599" t="s">
        <v>7</v>
      </c>
      <c r="G599" s="1">
        <v>45602</v>
      </c>
    </row>
    <row r="600" spans="1:7" x14ac:dyDescent="0.3">
      <c r="A600" t="s">
        <v>162</v>
      </c>
      <c r="B600">
        <v>2</v>
      </c>
      <c r="C600" s="2">
        <v>15</v>
      </c>
      <c r="D600" s="2">
        <f t="shared" si="9"/>
        <v>30</v>
      </c>
      <c r="E600" t="s">
        <v>7</v>
      </c>
      <c r="G600" s="1">
        <v>45603</v>
      </c>
    </row>
    <row r="601" spans="1:7" x14ac:dyDescent="0.3">
      <c r="A601" t="s">
        <v>176</v>
      </c>
      <c r="B601">
        <v>0.2</v>
      </c>
      <c r="C601" s="2">
        <v>400</v>
      </c>
      <c r="D601" s="2">
        <f t="shared" si="9"/>
        <v>80</v>
      </c>
      <c r="E601" t="s">
        <v>7</v>
      </c>
      <c r="G601" s="1">
        <v>45603</v>
      </c>
    </row>
    <row r="602" spans="1:7" x14ac:dyDescent="0.3">
      <c r="A602" t="s">
        <v>174</v>
      </c>
      <c r="B602">
        <v>0.2</v>
      </c>
      <c r="C602" s="2">
        <v>400</v>
      </c>
      <c r="D602" s="2">
        <f t="shared" si="9"/>
        <v>80</v>
      </c>
      <c r="E602" t="s">
        <v>7</v>
      </c>
      <c r="G602" s="1">
        <v>45603</v>
      </c>
    </row>
    <row r="603" spans="1:7" x14ac:dyDescent="0.3">
      <c r="A603" t="s">
        <v>202</v>
      </c>
      <c r="B603">
        <v>1</v>
      </c>
      <c r="C603" s="2">
        <v>100</v>
      </c>
      <c r="D603" s="2">
        <f t="shared" si="9"/>
        <v>100</v>
      </c>
      <c r="E603" t="s">
        <v>7</v>
      </c>
      <c r="G603" s="1">
        <v>45605</v>
      </c>
    </row>
    <row r="604" spans="1:7" x14ac:dyDescent="0.3">
      <c r="A604" t="s">
        <v>188</v>
      </c>
      <c r="B604">
        <v>1</v>
      </c>
      <c r="C604" s="2">
        <v>60</v>
      </c>
      <c r="D604" s="2">
        <f t="shared" si="9"/>
        <v>60</v>
      </c>
      <c r="E604" t="s">
        <v>7</v>
      </c>
      <c r="G604" s="1">
        <v>45605</v>
      </c>
    </row>
    <row r="605" spans="1:7" x14ac:dyDescent="0.3">
      <c r="A605" t="s">
        <v>215</v>
      </c>
      <c r="B605">
        <v>1</v>
      </c>
      <c r="C605" s="2">
        <v>60</v>
      </c>
      <c r="D605" s="2">
        <f t="shared" si="9"/>
        <v>60</v>
      </c>
      <c r="E605" t="s">
        <v>7</v>
      </c>
      <c r="G605" s="1">
        <v>45605</v>
      </c>
    </row>
    <row r="606" spans="1:7" x14ac:dyDescent="0.3">
      <c r="A606" t="s">
        <v>201</v>
      </c>
      <c r="B606">
        <v>10</v>
      </c>
      <c r="C606" s="2">
        <v>395</v>
      </c>
      <c r="D606" s="2">
        <f t="shared" si="9"/>
        <v>3950</v>
      </c>
      <c r="E606" t="s">
        <v>142</v>
      </c>
      <c r="F606" t="s">
        <v>49</v>
      </c>
      <c r="G606" s="1">
        <v>45605</v>
      </c>
    </row>
    <row r="607" spans="1:7" x14ac:dyDescent="0.3">
      <c r="A607" t="s">
        <v>179</v>
      </c>
      <c r="B607">
        <v>10</v>
      </c>
      <c r="C607" s="2">
        <v>235</v>
      </c>
      <c r="D607" s="2">
        <f t="shared" si="9"/>
        <v>2350</v>
      </c>
      <c r="E607" t="s">
        <v>142</v>
      </c>
      <c r="F607" t="s">
        <v>17</v>
      </c>
      <c r="G607" s="1">
        <v>45605</v>
      </c>
    </row>
    <row r="608" spans="1:7" x14ac:dyDescent="0.3">
      <c r="A608" t="s">
        <v>65</v>
      </c>
      <c r="B608">
        <v>10</v>
      </c>
      <c r="C608" s="2">
        <v>228</v>
      </c>
      <c r="D608" s="2">
        <f t="shared" si="9"/>
        <v>2280</v>
      </c>
      <c r="E608" t="s">
        <v>142</v>
      </c>
      <c r="F608" t="s">
        <v>17</v>
      </c>
      <c r="G608" s="1">
        <v>45605</v>
      </c>
    </row>
    <row r="609" spans="1:7" x14ac:dyDescent="0.3">
      <c r="A609" t="s">
        <v>204</v>
      </c>
      <c r="B609">
        <v>10</v>
      </c>
      <c r="C609" s="2">
        <v>295</v>
      </c>
      <c r="D609" s="2">
        <f t="shared" si="9"/>
        <v>2950</v>
      </c>
      <c r="E609" t="s">
        <v>142</v>
      </c>
      <c r="F609" t="s">
        <v>17</v>
      </c>
      <c r="G609" s="1">
        <v>45605</v>
      </c>
    </row>
    <row r="610" spans="1:7" x14ac:dyDescent="0.3">
      <c r="A610" t="s">
        <v>183</v>
      </c>
      <c r="B610">
        <v>10</v>
      </c>
      <c r="C610" s="2">
        <v>439</v>
      </c>
      <c r="D610" s="2">
        <f t="shared" si="9"/>
        <v>4390</v>
      </c>
      <c r="E610" t="s">
        <v>142</v>
      </c>
      <c r="F610" t="s">
        <v>17</v>
      </c>
      <c r="G610" s="1">
        <v>45605</v>
      </c>
    </row>
    <row r="611" spans="1:7" x14ac:dyDescent="0.3">
      <c r="A611" t="s">
        <v>13</v>
      </c>
      <c r="B611">
        <v>1</v>
      </c>
      <c r="C611" s="2">
        <v>239</v>
      </c>
      <c r="D611" s="2">
        <f t="shared" si="9"/>
        <v>239</v>
      </c>
      <c r="E611" t="s">
        <v>142</v>
      </c>
      <c r="F611" t="s">
        <v>17</v>
      </c>
      <c r="G611" s="1">
        <v>45605</v>
      </c>
    </row>
    <row r="612" spans="1:7" x14ac:dyDescent="0.3">
      <c r="A612" t="s">
        <v>221</v>
      </c>
      <c r="B612">
        <v>10</v>
      </c>
      <c r="C612" s="2">
        <v>1450</v>
      </c>
      <c r="D612" s="2">
        <f t="shared" si="9"/>
        <v>14500</v>
      </c>
      <c r="E612" t="s">
        <v>60</v>
      </c>
      <c r="F612" t="s">
        <v>17</v>
      </c>
      <c r="G612" s="1">
        <v>45605</v>
      </c>
    </row>
    <row r="613" spans="1:7" x14ac:dyDescent="0.3">
      <c r="A613" t="s">
        <v>195</v>
      </c>
      <c r="B613">
        <v>10</v>
      </c>
      <c r="C613" s="2">
        <v>1450</v>
      </c>
      <c r="D613" s="2">
        <f t="shared" si="9"/>
        <v>14500</v>
      </c>
      <c r="E613" t="s">
        <v>60</v>
      </c>
      <c r="F613" t="s">
        <v>17</v>
      </c>
      <c r="G613" s="1">
        <v>45605</v>
      </c>
    </row>
    <row r="614" spans="1:7" x14ac:dyDescent="0.3">
      <c r="A614" t="s">
        <v>176</v>
      </c>
      <c r="B614">
        <v>5</v>
      </c>
      <c r="C614" s="2">
        <v>800</v>
      </c>
      <c r="D614" s="2">
        <f t="shared" si="9"/>
        <v>4000</v>
      </c>
      <c r="E614" t="s">
        <v>60</v>
      </c>
      <c r="F614" t="s">
        <v>17</v>
      </c>
      <c r="G614" s="1">
        <v>45605</v>
      </c>
    </row>
    <row r="615" spans="1:7" x14ac:dyDescent="0.3">
      <c r="A615" t="s">
        <v>174</v>
      </c>
      <c r="B615">
        <v>3</v>
      </c>
      <c r="C615" s="2">
        <v>800</v>
      </c>
      <c r="D615" s="2">
        <f t="shared" si="9"/>
        <v>2400</v>
      </c>
      <c r="E615" t="s">
        <v>60</v>
      </c>
      <c r="F615" t="s">
        <v>17</v>
      </c>
      <c r="G615" s="1">
        <v>45605</v>
      </c>
    </row>
    <row r="616" spans="1:7" x14ac:dyDescent="0.3">
      <c r="A616" t="s">
        <v>101</v>
      </c>
      <c r="B616">
        <v>8</v>
      </c>
      <c r="C616" s="2">
        <v>200</v>
      </c>
      <c r="D616" s="2">
        <f t="shared" si="9"/>
        <v>1600</v>
      </c>
      <c r="E616" t="s">
        <v>60</v>
      </c>
      <c r="F616" t="s">
        <v>17</v>
      </c>
      <c r="G616" s="1">
        <v>45605</v>
      </c>
    </row>
    <row r="617" spans="1:7" x14ac:dyDescent="0.3">
      <c r="A617" t="s">
        <v>203</v>
      </c>
      <c r="B617">
        <v>4</v>
      </c>
      <c r="C617" s="2">
        <v>550</v>
      </c>
      <c r="D617" s="2">
        <f t="shared" si="9"/>
        <v>2200</v>
      </c>
      <c r="E617" t="s">
        <v>60</v>
      </c>
      <c r="F617" t="s">
        <v>17</v>
      </c>
      <c r="G617" s="1">
        <v>45605</v>
      </c>
    </row>
    <row r="618" spans="1:7" x14ac:dyDescent="0.3">
      <c r="A618" t="s">
        <v>65</v>
      </c>
      <c r="B618">
        <v>2</v>
      </c>
      <c r="C618" s="2">
        <v>350</v>
      </c>
      <c r="D618" s="2">
        <f t="shared" si="9"/>
        <v>700</v>
      </c>
      <c r="E618" t="s">
        <v>60</v>
      </c>
      <c r="F618" t="s">
        <v>49</v>
      </c>
      <c r="G618" s="1">
        <v>45605</v>
      </c>
    </row>
    <row r="619" spans="1:7" x14ac:dyDescent="0.3">
      <c r="A619" t="s">
        <v>179</v>
      </c>
      <c r="B619">
        <v>2</v>
      </c>
      <c r="C619" s="2">
        <v>400</v>
      </c>
      <c r="D619" s="2">
        <f t="shared" si="9"/>
        <v>800</v>
      </c>
      <c r="E619" t="s">
        <v>60</v>
      </c>
      <c r="F619" t="s">
        <v>17</v>
      </c>
      <c r="G619" s="1">
        <v>45605</v>
      </c>
    </row>
    <row r="620" spans="1:7" x14ac:dyDescent="0.3">
      <c r="A620" t="s">
        <v>73</v>
      </c>
      <c r="B620">
        <v>6</v>
      </c>
      <c r="C620" s="2">
        <v>200</v>
      </c>
      <c r="D620" s="2">
        <f t="shared" si="9"/>
        <v>1200</v>
      </c>
      <c r="E620" t="s">
        <v>60</v>
      </c>
      <c r="F620" t="s">
        <v>17</v>
      </c>
      <c r="G620" s="1">
        <v>45605</v>
      </c>
    </row>
    <row r="621" spans="1:7" x14ac:dyDescent="0.3">
      <c r="A621" t="s">
        <v>196</v>
      </c>
      <c r="B621">
        <v>2</v>
      </c>
      <c r="C621" s="2">
        <v>300</v>
      </c>
      <c r="D621" s="2">
        <f t="shared" si="9"/>
        <v>600</v>
      </c>
      <c r="E621" t="s">
        <v>60</v>
      </c>
      <c r="F621" t="s">
        <v>17</v>
      </c>
      <c r="G621" s="1">
        <v>45605</v>
      </c>
    </row>
    <row r="622" spans="1:7" x14ac:dyDescent="0.3">
      <c r="A622" t="s">
        <v>98</v>
      </c>
      <c r="B622">
        <v>4</v>
      </c>
      <c r="C622" s="2">
        <v>350</v>
      </c>
      <c r="D622" s="2">
        <f t="shared" si="9"/>
        <v>1400</v>
      </c>
      <c r="E622" t="s">
        <v>60</v>
      </c>
      <c r="F622" t="s">
        <v>17</v>
      </c>
      <c r="G622" s="1">
        <v>45605</v>
      </c>
    </row>
    <row r="623" spans="1:7" x14ac:dyDescent="0.3">
      <c r="A623" t="s">
        <v>229</v>
      </c>
      <c r="B623">
        <v>3</v>
      </c>
      <c r="C623" s="2">
        <v>300</v>
      </c>
      <c r="D623" s="2">
        <f t="shared" si="9"/>
        <v>900</v>
      </c>
      <c r="E623" t="s">
        <v>60</v>
      </c>
      <c r="F623" t="s">
        <v>17</v>
      </c>
      <c r="G623" s="1">
        <v>45605</v>
      </c>
    </row>
    <row r="624" spans="1:7" x14ac:dyDescent="0.3">
      <c r="A624" t="s">
        <v>204</v>
      </c>
      <c r="B624">
        <v>4</v>
      </c>
      <c r="C624" s="2">
        <v>550</v>
      </c>
      <c r="D624" s="2">
        <f t="shared" si="9"/>
        <v>2200</v>
      </c>
      <c r="E624" t="s">
        <v>60</v>
      </c>
      <c r="F624" t="s">
        <v>17</v>
      </c>
      <c r="G624" s="1">
        <v>45605</v>
      </c>
    </row>
    <row r="625" spans="1:9" x14ac:dyDescent="0.3">
      <c r="A625" t="s">
        <v>162</v>
      </c>
      <c r="B625">
        <v>2</v>
      </c>
      <c r="C625" s="2">
        <v>15</v>
      </c>
      <c r="D625" s="2">
        <f t="shared" si="9"/>
        <v>30</v>
      </c>
      <c r="E625" t="s">
        <v>7</v>
      </c>
      <c r="G625" s="1">
        <v>45607</v>
      </c>
    </row>
    <row r="626" spans="1:9" x14ac:dyDescent="0.3">
      <c r="A626" t="s">
        <v>233</v>
      </c>
      <c r="B626">
        <v>5</v>
      </c>
      <c r="C626" s="2">
        <v>350</v>
      </c>
      <c r="D626" s="2">
        <f t="shared" si="9"/>
        <v>1750</v>
      </c>
      <c r="E626" t="s">
        <v>7</v>
      </c>
      <c r="G626" s="1">
        <v>45607</v>
      </c>
    </row>
    <row r="627" spans="1:9" x14ac:dyDescent="0.3">
      <c r="A627" t="s">
        <v>173</v>
      </c>
      <c r="B627">
        <v>1</v>
      </c>
      <c r="C627" s="2">
        <v>130</v>
      </c>
      <c r="D627" s="2">
        <f t="shared" si="9"/>
        <v>130</v>
      </c>
      <c r="E627" t="s">
        <v>7</v>
      </c>
      <c r="G627" s="1">
        <v>45607</v>
      </c>
    </row>
    <row r="628" spans="1:9" x14ac:dyDescent="0.3">
      <c r="A628" t="s">
        <v>225</v>
      </c>
      <c r="B628">
        <v>1</v>
      </c>
      <c r="C628" s="2">
        <v>40</v>
      </c>
      <c r="D628" s="2">
        <f t="shared" si="9"/>
        <v>40</v>
      </c>
      <c r="E628" t="s">
        <v>7</v>
      </c>
      <c r="G628" s="1">
        <v>45608</v>
      </c>
    </row>
    <row r="629" spans="1:9" x14ac:dyDescent="0.3">
      <c r="A629" t="s">
        <v>199</v>
      </c>
      <c r="B629">
        <v>3</v>
      </c>
      <c r="C629" s="2">
        <v>300</v>
      </c>
      <c r="D629" s="2">
        <f t="shared" si="9"/>
        <v>900</v>
      </c>
      <c r="E629" t="s">
        <v>60</v>
      </c>
      <c r="F629" t="s">
        <v>17</v>
      </c>
      <c r="G629" s="1">
        <v>45608</v>
      </c>
    </row>
    <row r="630" spans="1:9" x14ac:dyDescent="0.3">
      <c r="A630" t="s">
        <v>165</v>
      </c>
      <c r="B630">
        <v>2</v>
      </c>
      <c r="C630" s="2">
        <v>200</v>
      </c>
      <c r="D630" s="2">
        <f t="shared" si="9"/>
        <v>400</v>
      </c>
      <c r="E630" t="s">
        <v>60</v>
      </c>
      <c r="F630" t="s">
        <v>17</v>
      </c>
      <c r="G630" s="1">
        <v>45608</v>
      </c>
    </row>
    <row r="631" spans="1:9" x14ac:dyDescent="0.3">
      <c r="A631" t="s">
        <v>65</v>
      </c>
      <c r="B631">
        <v>1</v>
      </c>
      <c r="C631" s="2">
        <v>350</v>
      </c>
      <c r="D631" s="2">
        <f t="shared" si="9"/>
        <v>350</v>
      </c>
      <c r="E631" t="s">
        <v>60</v>
      </c>
      <c r="F631" t="s">
        <v>17</v>
      </c>
      <c r="G631" s="1">
        <v>45608</v>
      </c>
    </row>
    <row r="632" spans="1:9" x14ac:dyDescent="0.3">
      <c r="A632" t="s">
        <v>173</v>
      </c>
      <c r="B632">
        <v>1</v>
      </c>
      <c r="C632" s="2">
        <v>150</v>
      </c>
      <c r="D632" s="2">
        <f t="shared" si="9"/>
        <v>150</v>
      </c>
      <c r="E632" t="s">
        <v>7</v>
      </c>
      <c r="G632" s="1">
        <v>45608</v>
      </c>
    </row>
    <row r="633" spans="1:9" x14ac:dyDescent="0.3">
      <c r="A633" t="s">
        <v>162</v>
      </c>
      <c r="B633">
        <v>1</v>
      </c>
      <c r="C633" s="2">
        <v>20</v>
      </c>
      <c r="D633" s="2">
        <f t="shared" si="9"/>
        <v>20</v>
      </c>
      <c r="E633" t="s">
        <v>7</v>
      </c>
      <c r="G633" s="1">
        <v>45608</v>
      </c>
    </row>
    <row r="634" spans="1:9" x14ac:dyDescent="0.3">
      <c r="A634" t="s">
        <v>233</v>
      </c>
      <c r="B634">
        <v>1</v>
      </c>
      <c r="C634" s="2">
        <v>350</v>
      </c>
      <c r="D634" s="2">
        <f t="shared" si="9"/>
        <v>350</v>
      </c>
      <c r="E634" t="s">
        <v>7</v>
      </c>
      <c r="G634" s="1">
        <v>45609</v>
      </c>
    </row>
    <row r="635" spans="1:9" x14ac:dyDescent="0.3">
      <c r="A635" t="s">
        <v>173</v>
      </c>
      <c r="B635">
        <v>1</v>
      </c>
      <c r="C635" s="2">
        <v>230</v>
      </c>
      <c r="D635" s="2">
        <f t="shared" si="9"/>
        <v>230</v>
      </c>
      <c r="E635" t="s">
        <v>7</v>
      </c>
      <c r="G635" s="1">
        <v>45609</v>
      </c>
    </row>
    <row r="636" spans="1:9" x14ac:dyDescent="0.3">
      <c r="A636" t="s">
        <v>73</v>
      </c>
      <c r="B636">
        <v>1</v>
      </c>
      <c r="C636" s="2">
        <v>200</v>
      </c>
      <c r="D636" s="2">
        <f t="shared" si="9"/>
        <v>200</v>
      </c>
      <c r="E636" t="s">
        <v>7</v>
      </c>
      <c r="G636" s="1">
        <v>45609</v>
      </c>
    </row>
    <row r="637" spans="1:9" x14ac:dyDescent="0.3">
      <c r="A637" t="s">
        <v>64</v>
      </c>
      <c r="B637">
        <v>1</v>
      </c>
      <c r="C637" s="2">
        <v>150</v>
      </c>
      <c r="D637" s="2">
        <f t="shared" si="9"/>
        <v>150</v>
      </c>
      <c r="E637" t="s">
        <v>7</v>
      </c>
      <c r="G637" s="1">
        <v>45609</v>
      </c>
      <c r="I637">
        <f>SUBTOTAL(9,B323:B1336)</f>
        <v>9982.2300000000032</v>
      </c>
    </row>
    <row r="638" spans="1:9" x14ac:dyDescent="0.3">
      <c r="A638" t="s">
        <v>162</v>
      </c>
      <c r="B638">
        <v>1</v>
      </c>
      <c r="C638" s="2">
        <v>20</v>
      </c>
      <c r="D638" s="2">
        <f t="shared" si="9"/>
        <v>20</v>
      </c>
      <c r="E638" t="s">
        <v>7</v>
      </c>
      <c r="G638" s="1">
        <v>45609</v>
      </c>
    </row>
    <row r="639" spans="1:9" x14ac:dyDescent="0.3">
      <c r="A639" t="s">
        <v>201</v>
      </c>
      <c r="B639">
        <v>5</v>
      </c>
      <c r="C639" s="2">
        <v>500</v>
      </c>
      <c r="D639" s="2">
        <f t="shared" si="9"/>
        <v>2500</v>
      </c>
      <c r="E639" t="s">
        <v>60</v>
      </c>
      <c r="F639" t="s">
        <v>17</v>
      </c>
      <c r="G639" s="1">
        <v>45610</v>
      </c>
    </row>
    <row r="640" spans="1:9" x14ac:dyDescent="0.3">
      <c r="A640" t="s">
        <v>171</v>
      </c>
      <c r="B640">
        <v>1</v>
      </c>
      <c r="C640" s="2">
        <v>150</v>
      </c>
      <c r="D640" s="2">
        <f t="shared" si="9"/>
        <v>150</v>
      </c>
      <c r="E640" t="s">
        <v>7</v>
      </c>
      <c r="G640" s="1">
        <v>45610</v>
      </c>
    </row>
    <row r="641" spans="1:7" x14ac:dyDescent="0.3">
      <c r="A641" t="s">
        <v>233</v>
      </c>
      <c r="B641">
        <v>1</v>
      </c>
      <c r="C641" s="2">
        <v>350</v>
      </c>
      <c r="D641" s="2">
        <f t="shared" si="9"/>
        <v>350</v>
      </c>
      <c r="E641" t="s">
        <v>7</v>
      </c>
      <c r="G641" s="1">
        <v>45612</v>
      </c>
    </row>
    <row r="642" spans="1:7" x14ac:dyDescent="0.3">
      <c r="A642" t="s">
        <v>41</v>
      </c>
      <c r="B642">
        <v>1</v>
      </c>
      <c r="C642" s="2">
        <v>50</v>
      </c>
      <c r="D642" s="2">
        <f t="shared" si="9"/>
        <v>50</v>
      </c>
      <c r="E642" t="s">
        <v>7</v>
      </c>
      <c r="G642" s="1">
        <v>45612</v>
      </c>
    </row>
    <row r="643" spans="1:7" x14ac:dyDescent="0.3">
      <c r="A643" t="s">
        <v>171</v>
      </c>
      <c r="B643">
        <v>1</v>
      </c>
      <c r="C643" s="2">
        <v>150</v>
      </c>
      <c r="D643" s="2">
        <f t="shared" ref="D643:D866" si="10">B643*C643</f>
        <v>150</v>
      </c>
      <c r="E643" t="s">
        <v>7</v>
      </c>
      <c r="G643" s="1">
        <v>45613</v>
      </c>
    </row>
    <row r="644" spans="1:7" x14ac:dyDescent="0.3">
      <c r="A644" t="s">
        <v>162</v>
      </c>
      <c r="B644">
        <v>1</v>
      </c>
      <c r="C644" s="2">
        <v>20</v>
      </c>
      <c r="D644" s="2">
        <f t="shared" si="10"/>
        <v>20</v>
      </c>
      <c r="E644" t="s">
        <v>7</v>
      </c>
      <c r="G644" s="1">
        <v>45613</v>
      </c>
    </row>
    <row r="645" spans="1:7" x14ac:dyDescent="0.3">
      <c r="A645" t="s">
        <v>205</v>
      </c>
      <c r="B645">
        <v>1</v>
      </c>
      <c r="C645" s="2">
        <v>350</v>
      </c>
      <c r="D645" s="2">
        <f t="shared" si="10"/>
        <v>350</v>
      </c>
      <c r="E645" t="s">
        <v>7</v>
      </c>
      <c r="G645" s="1">
        <v>45613</v>
      </c>
    </row>
    <row r="646" spans="1:7" x14ac:dyDescent="0.3">
      <c r="A646" t="s">
        <v>212</v>
      </c>
      <c r="B646">
        <v>3</v>
      </c>
      <c r="C646" s="2">
        <v>3000</v>
      </c>
      <c r="D646" s="2">
        <f t="shared" si="10"/>
        <v>9000</v>
      </c>
      <c r="E646" t="s">
        <v>110</v>
      </c>
      <c r="F646" t="s">
        <v>17</v>
      </c>
      <c r="G646" s="1">
        <v>45613</v>
      </c>
    </row>
    <row r="647" spans="1:7" x14ac:dyDescent="0.3">
      <c r="A647" t="s">
        <v>191</v>
      </c>
      <c r="B647">
        <v>4</v>
      </c>
      <c r="C647" s="2">
        <v>420</v>
      </c>
      <c r="D647" s="2">
        <f t="shared" si="10"/>
        <v>1680</v>
      </c>
      <c r="E647" t="s">
        <v>110</v>
      </c>
      <c r="F647" t="s">
        <v>17</v>
      </c>
      <c r="G647" s="1">
        <v>45613</v>
      </c>
    </row>
    <row r="648" spans="1:7" x14ac:dyDescent="0.3">
      <c r="A648" t="s">
        <v>233</v>
      </c>
      <c r="B648">
        <v>1</v>
      </c>
      <c r="C648" s="2">
        <v>350</v>
      </c>
      <c r="D648" s="2">
        <f t="shared" si="10"/>
        <v>350</v>
      </c>
      <c r="E648" t="s">
        <v>7</v>
      </c>
      <c r="G648" s="1">
        <v>45614</v>
      </c>
    </row>
    <row r="649" spans="1:7" x14ac:dyDescent="0.3">
      <c r="A649" t="s">
        <v>203</v>
      </c>
      <c r="B649">
        <v>1</v>
      </c>
      <c r="C649" s="2">
        <v>300</v>
      </c>
      <c r="D649" s="2">
        <f t="shared" si="10"/>
        <v>300</v>
      </c>
      <c r="E649" t="s">
        <v>7</v>
      </c>
      <c r="G649" s="1">
        <v>45615</v>
      </c>
    </row>
    <row r="650" spans="1:7" x14ac:dyDescent="0.3">
      <c r="A650" t="s">
        <v>173</v>
      </c>
      <c r="B650">
        <v>1</v>
      </c>
      <c r="C650" s="2">
        <v>150</v>
      </c>
      <c r="D650" s="2">
        <f t="shared" si="10"/>
        <v>150</v>
      </c>
      <c r="E650" t="s">
        <v>7</v>
      </c>
      <c r="G650" s="1">
        <v>45616</v>
      </c>
    </row>
    <row r="651" spans="1:7" x14ac:dyDescent="0.3">
      <c r="A651" t="s">
        <v>173</v>
      </c>
      <c r="B651">
        <v>1</v>
      </c>
      <c r="C651" s="2">
        <v>150</v>
      </c>
      <c r="D651" s="2">
        <f t="shared" si="10"/>
        <v>150</v>
      </c>
      <c r="E651" t="s">
        <v>7</v>
      </c>
      <c r="G651" s="1">
        <v>45617</v>
      </c>
    </row>
    <row r="652" spans="1:7" x14ac:dyDescent="0.3">
      <c r="A652" t="s">
        <v>65</v>
      </c>
      <c r="B652">
        <v>0.03</v>
      </c>
      <c r="C652" s="2">
        <v>1700</v>
      </c>
      <c r="D652" s="2">
        <f t="shared" si="10"/>
        <v>51</v>
      </c>
      <c r="E652" t="s">
        <v>7</v>
      </c>
      <c r="G652" s="1">
        <v>45619</v>
      </c>
    </row>
    <row r="653" spans="1:7" x14ac:dyDescent="0.3">
      <c r="A653" t="s">
        <v>162</v>
      </c>
      <c r="B653">
        <v>1</v>
      </c>
      <c r="C653" s="2">
        <v>25</v>
      </c>
      <c r="D653" s="2">
        <f t="shared" si="10"/>
        <v>25</v>
      </c>
      <c r="E653" t="s">
        <v>7</v>
      </c>
      <c r="G653" s="1">
        <v>45619</v>
      </c>
    </row>
    <row r="654" spans="1:7" x14ac:dyDescent="0.3">
      <c r="A654" t="s">
        <v>176</v>
      </c>
      <c r="B654">
        <v>0.2</v>
      </c>
      <c r="C654" s="2">
        <v>500</v>
      </c>
      <c r="D654" s="2">
        <f t="shared" si="10"/>
        <v>100</v>
      </c>
      <c r="E654" t="s">
        <v>7</v>
      </c>
      <c r="G654" s="1">
        <v>45620</v>
      </c>
    </row>
    <row r="655" spans="1:7" x14ac:dyDescent="0.3">
      <c r="A655" t="s">
        <v>173</v>
      </c>
      <c r="B655">
        <v>1</v>
      </c>
      <c r="C655" s="2">
        <v>150</v>
      </c>
      <c r="D655" s="2">
        <f t="shared" si="10"/>
        <v>150</v>
      </c>
      <c r="E655" t="s">
        <v>7</v>
      </c>
      <c r="G655" s="1">
        <v>45620</v>
      </c>
    </row>
    <row r="656" spans="1:7" x14ac:dyDescent="0.3">
      <c r="A656" t="s">
        <v>233</v>
      </c>
      <c r="B656">
        <v>2</v>
      </c>
      <c r="C656" s="2">
        <v>350</v>
      </c>
      <c r="D656" s="2">
        <f t="shared" si="10"/>
        <v>700</v>
      </c>
      <c r="E656" t="s">
        <v>7</v>
      </c>
      <c r="G656" s="1">
        <v>45621</v>
      </c>
    </row>
    <row r="657" spans="1:7" x14ac:dyDescent="0.3">
      <c r="A657" t="s">
        <v>78</v>
      </c>
      <c r="B657">
        <v>25</v>
      </c>
      <c r="C657" s="2">
        <v>40</v>
      </c>
      <c r="D657" s="2">
        <f t="shared" si="10"/>
        <v>1000</v>
      </c>
      <c r="E657" t="s">
        <v>79</v>
      </c>
      <c r="F657" t="s">
        <v>17</v>
      </c>
      <c r="G657" s="1">
        <v>45621</v>
      </c>
    </row>
    <row r="658" spans="1:7" x14ac:dyDescent="0.3">
      <c r="A658" t="s">
        <v>162</v>
      </c>
      <c r="B658">
        <v>4</v>
      </c>
      <c r="C658" s="2">
        <v>15</v>
      </c>
      <c r="D658" s="2">
        <f t="shared" si="10"/>
        <v>60</v>
      </c>
      <c r="E658" t="s">
        <v>7</v>
      </c>
      <c r="G658" s="1">
        <v>45622</v>
      </c>
    </row>
    <row r="659" spans="1:7" x14ac:dyDescent="0.3">
      <c r="A659" t="s">
        <v>176</v>
      </c>
      <c r="B659">
        <v>0.2</v>
      </c>
      <c r="C659" s="2">
        <v>500</v>
      </c>
      <c r="D659" s="2">
        <f t="shared" si="10"/>
        <v>100</v>
      </c>
      <c r="E659" t="s">
        <v>7</v>
      </c>
      <c r="G659" s="1">
        <v>45622</v>
      </c>
    </row>
    <row r="660" spans="1:7" x14ac:dyDescent="0.3">
      <c r="A660" t="s">
        <v>204</v>
      </c>
      <c r="B660">
        <v>4</v>
      </c>
      <c r="C660" s="2">
        <v>500</v>
      </c>
      <c r="D660" s="2">
        <f t="shared" si="10"/>
        <v>2000</v>
      </c>
      <c r="E660" t="s">
        <v>60</v>
      </c>
      <c r="F660" t="s">
        <v>17</v>
      </c>
      <c r="G660" s="1">
        <v>45622</v>
      </c>
    </row>
    <row r="661" spans="1:7" x14ac:dyDescent="0.3">
      <c r="A661" t="s">
        <v>67</v>
      </c>
      <c r="B661">
        <v>6</v>
      </c>
      <c r="C661" s="2">
        <v>750</v>
      </c>
      <c r="D661" s="2">
        <f t="shared" si="10"/>
        <v>4500</v>
      </c>
      <c r="E661" t="s">
        <v>60</v>
      </c>
      <c r="F661" t="s">
        <v>17</v>
      </c>
      <c r="G661" s="1">
        <v>45622</v>
      </c>
    </row>
    <row r="662" spans="1:7" x14ac:dyDescent="0.3">
      <c r="A662" t="s">
        <v>211</v>
      </c>
      <c r="B662">
        <v>4</v>
      </c>
      <c r="C662" s="2">
        <v>120</v>
      </c>
      <c r="D662" s="2">
        <f t="shared" si="10"/>
        <v>480</v>
      </c>
      <c r="E662" t="s">
        <v>60</v>
      </c>
      <c r="F662" t="s">
        <v>17</v>
      </c>
      <c r="G662" s="1">
        <v>45622</v>
      </c>
    </row>
    <row r="663" spans="1:7" x14ac:dyDescent="0.3">
      <c r="A663" t="s">
        <v>165</v>
      </c>
      <c r="B663">
        <v>4</v>
      </c>
      <c r="C663" s="2">
        <v>200</v>
      </c>
      <c r="D663" s="2">
        <f t="shared" si="10"/>
        <v>800</v>
      </c>
      <c r="E663" t="s">
        <v>60</v>
      </c>
      <c r="F663" t="s">
        <v>17</v>
      </c>
      <c r="G663" s="1">
        <v>45622</v>
      </c>
    </row>
    <row r="664" spans="1:7" x14ac:dyDescent="0.3">
      <c r="A664" t="s">
        <v>199</v>
      </c>
      <c r="B664">
        <v>2</v>
      </c>
      <c r="C664" s="2">
        <v>300</v>
      </c>
      <c r="D664" s="2">
        <f t="shared" si="10"/>
        <v>600</v>
      </c>
      <c r="E664" t="s">
        <v>60</v>
      </c>
      <c r="F664" t="s">
        <v>17</v>
      </c>
      <c r="G664" s="1">
        <v>45622</v>
      </c>
    </row>
    <row r="665" spans="1:7" x14ac:dyDescent="0.3">
      <c r="A665" t="s">
        <v>176</v>
      </c>
      <c r="B665">
        <v>1</v>
      </c>
      <c r="C665" s="2">
        <v>500</v>
      </c>
      <c r="D665" s="2">
        <f t="shared" si="10"/>
        <v>500</v>
      </c>
      <c r="E665" t="s">
        <v>60</v>
      </c>
      <c r="F665" t="s">
        <v>17</v>
      </c>
      <c r="G665" s="1">
        <v>45622</v>
      </c>
    </row>
    <row r="666" spans="1:7" x14ac:dyDescent="0.3">
      <c r="A666" t="s">
        <v>195</v>
      </c>
      <c r="B666">
        <v>5</v>
      </c>
      <c r="C666" s="2">
        <v>1335</v>
      </c>
      <c r="D666" s="2">
        <f t="shared" si="10"/>
        <v>6675</v>
      </c>
      <c r="E666" t="s">
        <v>60</v>
      </c>
      <c r="F666" t="s">
        <v>17</v>
      </c>
      <c r="G666" s="1">
        <v>45623</v>
      </c>
    </row>
    <row r="667" spans="1:7" x14ac:dyDescent="0.3">
      <c r="A667" t="s">
        <v>185</v>
      </c>
      <c r="B667">
        <v>5</v>
      </c>
      <c r="C667" s="2">
        <v>760</v>
      </c>
      <c r="D667" s="2">
        <f t="shared" si="10"/>
        <v>3800</v>
      </c>
      <c r="E667" t="s">
        <v>60</v>
      </c>
      <c r="F667" t="s">
        <v>17</v>
      </c>
      <c r="G667" s="1">
        <v>45623</v>
      </c>
    </row>
    <row r="668" spans="1:7" x14ac:dyDescent="0.3">
      <c r="A668" t="s">
        <v>221</v>
      </c>
      <c r="B668">
        <v>5</v>
      </c>
      <c r="C668" s="2">
        <v>1335</v>
      </c>
      <c r="D668" s="2">
        <f t="shared" si="10"/>
        <v>6675</v>
      </c>
      <c r="E668" t="s">
        <v>60</v>
      </c>
      <c r="F668" t="s">
        <v>17</v>
      </c>
      <c r="G668" s="1">
        <v>45623</v>
      </c>
    </row>
    <row r="669" spans="1:7" x14ac:dyDescent="0.3">
      <c r="A669" t="s">
        <v>194</v>
      </c>
      <c r="B669">
        <v>6</v>
      </c>
      <c r="C669" s="2">
        <v>1050</v>
      </c>
      <c r="D669" s="2">
        <f t="shared" si="10"/>
        <v>6300</v>
      </c>
      <c r="E669" t="s">
        <v>60</v>
      </c>
      <c r="F669" t="s">
        <v>17</v>
      </c>
      <c r="G669" s="1">
        <v>45623</v>
      </c>
    </row>
    <row r="670" spans="1:7" x14ac:dyDescent="0.3">
      <c r="A670" t="s">
        <v>176</v>
      </c>
      <c r="B670">
        <v>5</v>
      </c>
      <c r="C670" s="2">
        <v>500</v>
      </c>
      <c r="D670" s="2">
        <f t="shared" si="10"/>
        <v>2500</v>
      </c>
      <c r="E670" t="s">
        <v>60</v>
      </c>
      <c r="F670" t="s">
        <v>17</v>
      </c>
      <c r="G670" s="1">
        <v>45623</v>
      </c>
    </row>
    <row r="671" spans="1:7" x14ac:dyDescent="0.3">
      <c r="A671" t="s">
        <v>78</v>
      </c>
      <c r="B671">
        <v>50</v>
      </c>
      <c r="C671" s="2">
        <v>40</v>
      </c>
      <c r="D671" s="2">
        <f t="shared" si="10"/>
        <v>2000</v>
      </c>
      <c r="E671" t="s">
        <v>60</v>
      </c>
      <c r="F671" t="s">
        <v>17</v>
      </c>
      <c r="G671" s="1">
        <v>45623</v>
      </c>
    </row>
    <row r="672" spans="1:7" x14ac:dyDescent="0.3">
      <c r="A672" t="s">
        <v>161</v>
      </c>
      <c r="B672">
        <v>1</v>
      </c>
      <c r="C672" s="2">
        <v>150</v>
      </c>
      <c r="D672" s="2">
        <f t="shared" si="10"/>
        <v>150</v>
      </c>
      <c r="E672" t="s">
        <v>7</v>
      </c>
      <c r="G672" s="1">
        <v>45623</v>
      </c>
    </row>
    <row r="673" spans="1:7" x14ac:dyDescent="0.3">
      <c r="A673" t="s">
        <v>233</v>
      </c>
      <c r="B673">
        <v>1</v>
      </c>
      <c r="C673" s="2">
        <v>350</v>
      </c>
      <c r="D673" s="2">
        <f t="shared" si="10"/>
        <v>350</v>
      </c>
      <c r="E673" t="s">
        <v>7</v>
      </c>
      <c r="G673" s="1">
        <v>45623</v>
      </c>
    </row>
    <row r="674" spans="1:7" x14ac:dyDescent="0.3">
      <c r="A674" t="s">
        <v>173</v>
      </c>
      <c r="B674">
        <v>1</v>
      </c>
      <c r="C674" s="2">
        <v>200</v>
      </c>
      <c r="D674" s="2">
        <f t="shared" si="10"/>
        <v>200</v>
      </c>
      <c r="E674" t="s">
        <v>7</v>
      </c>
      <c r="G674" s="1">
        <v>45624</v>
      </c>
    </row>
    <row r="675" spans="1:7" x14ac:dyDescent="0.3">
      <c r="A675" t="s">
        <v>162</v>
      </c>
      <c r="B675">
        <v>1</v>
      </c>
      <c r="C675" s="2">
        <v>15</v>
      </c>
      <c r="D675" s="2">
        <f t="shared" si="10"/>
        <v>15</v>
      </c>
      <c r="E675" t="s">
        <v>7</v>
      </c>
      <c r="G675" s="1">
        <v>45626</v>
      </c>
    </row>
    <row r="676" spans="1:7" x14ac:dyDescent="0.3">
      <c r="A676" t="s">
        <v>176</v>
      </c>
      <c r="B676">
        <v>0.2</v>
      </c>
      <c r="C676" s="2">
        <v>500</v>
      </c>
      <c r="D676" s="2">
        <f t="shared" si="10"/>
        <v>100</v>
      </c>
      <c r="E676" t="s">
        <v>7</v>
      </c>
      <c r="G676" s="1">
        <v>45626</v>
      </c>
    </row>
    <row r="677" spans="1:7" x14ac:dyDescent="0.3">
      <c r="A677" t="s">
        <v>233</v>
      </c>
      <c r="B677">
        <v>1</v>
      </c>
      <c r="C677">
        <v>400</v>
      </c>
      <c r="D677" s="2">
        <f t="shared" si="10"/>
        <v>400</v>
      </c>
      <c r="E677" t="s">
        <v>7</v>
      </c>
      <c r="G677" s="1">
        <v>45628</v>
      </c>
    </row>
    <row r="678" spans="1:7" x14ac:dyDescent="0.3">
      <c r="A678" t="s">
        <v>173</v>
      </c>
      <c r="B678">
        <v>1</v>
      </c>
      <c r="C678">
        <v>150</v>
      </c>
      <c r="D678" s="2">
        <f t="shared" si="10"/>
        <v>150</v>
      </c>
      <c r="E678" t="s">
        <v>7</v>
      </c>
      <c r="G678" s="1">
        <v>45628</v>
      </c>
    </row>
    <row r="679" spans="1:7" x14ac:dyDescent="0.3">
      <c r="A679" t="s">
        <v>196</v>
      </c>
      <c r="B679">
        <v>1</v>
      </c>
      <c r="C679">
        <v>300</v>
      </c>
      <c r="D679" s="2">
        <f t="shared" si="10"/>
        <v>300</v>
      </c>
      <c r="E679" t="s">
        <v>7</v>
      </c>
      <c r="G679" s="1">
        <v>45629</v>
      </c>
    </row>
    <row r="680" spans="1:7" x14ac:dyDescent="0.3">
      <c r="A680" t="s">
        <v>167</v>
      </c>
      <c r="B680">
        <v>1</v>
      </c>
      <c r="C680">
        <v>220</v>
      </c>
      <c r="D680" s="2">
        <f t="shared" si="10"/>
        <v>220</v>
      </c>
      <c r="E680" t="s">
        <v>7</v>
      </c>
      <c r="F680" t="s">
        <v>49</v>
      </c>
      <c r="G680" s="1">
        <v>45629</v>
      </c>
    </row>
    <row r="681" spans="1:7" x14ac:dyDescent="0.3">
      <c r="A681" t="s">
        <v>187</v>
      </c>
      <c r="B681">
        <v>1</v>
      </c>
      <c r="C681">
        <v>130</v>
      </c>
      <c r="D681" s="2">
        <f t="shared" si="10"/>
        <v>130</v>
      </c>
      <c r="E681" t="s">
        <v>7</v>
      </c>
      <c r="G681" s="1">
        <v>45629</v>
      </c>
    </row>
    <row r="682" spans="1:7" x14ac:dyDescent="0.3">
      <c r="A682" t="s">
        <v>165</v>
      </c>
      <c r="B682">
        <v>1</v>
      </c>
      <c r="C682">
        <v>180</v>
      </c>
      <c r="D682" s="2">
        <f t="shared" si="10"/>
        <v>180</v>
      </c>
      <c r="E682" t="s">
        <v>7</v>
      </c>
      <c r="G682" s="1">
        <v>45629</v>
      </c>
    </row>
    <row r="683" spans="1:7" x14ac:dyDescent="0.3">
      <c r="A683" t="s">
        <v>176</v>
      </c>
      <c r="B683">
        <v>0.2</v>
      </c>
      <c r="C683" s="2">
        <v>500</v>
      </c>
      <c r="D683" s="2">
        <f t="shared" si="10"/>
        <v>100</v>
      </c>
      <c r="E683" t="s">
        <v>7</v>
      </c>
      <c r="G683" s="1">
        <v>45629</v>
      </c>
    </row>
    <row r="684" spans="1:7" x14ac:dyDescent="0.3">
      <c r="A684" t="s">
        <v>162</v>
      </c>
      <c r="B684">
        <v>3</v>
      </c>
      <c r="C684">
        <v>15</v>
      </c>
      <c r="D684" s="2">
        <f t="shared" si="10"/>
        <v>45</v>
      </c>
      <c r="E684" t="s">
        <v>7</v>
      </c>
      <c r="G684" s="1">
        <v>45631</v>
      </c>
    </row>
    <row r="685" spans="1:7" x14ac:dyDescent="0.3">
      <c r="A685" t="s">
        <v>233</v>
      </c>
      <c r="B685">
        <v>1</v>
      </c>
      <c r="C685">
        <v>350</v>
      </c>
      <c r="D685" s="2">
        <f t="shared" si="10"/>
        <v>350</v>
      </c>
      <c r="E685" t="s">
        <v>7</v>
      </c>
      <c r="G685" s="1">
        <v>45631</v>
      </c>
    </row>
    <row r="686" spans="1:7" x14ac:dyDescent="0.3">
      <c r="A686" t="s">
        <v>165</v>
      </c>
      <c r="B686">
        <v>1</v>
      </c>
      <c r="C686">
        <v>180</v>
      </c>
      <c r="D686" s="2">
        <f t="shared" si="10"/>
        <v>180</v>
      </c>
      <c r="E686" t="s">
        <v>7</v>
      </c>
      <c r="G686" s="1">
        <v>45633</v>
      </c>
    </row>
    <row r="687" spans="1:7" x14ac:dyDescent="0.3">
      <c r="A687" t="s">
        <v>173</v>
      </c>
      <c r="B687">
        <v>1</v>
      </c>
      <c r="C687">
        <v>150</v>
      </c>
      <c r="D687" s="2">
        <f t="shared" si="10"/>
        <v>150</v>
      </c>
      <c r="E687" t="s">
        <v>7</v>
      </c>
      <c r="G687" s="1">
        <v>45633</v>
      </c>
    </row>
    <row r="688" spans="1:7" x14ac:dyDescent="0.3">
      <c r="A688" t="s">
        <v>233</v>
      </c>
      <c r="B688">
        <v>1</v>
      </c>
      <c r="C688">
        <v>370</v>
      </c>
      <c r="D688" s="2">
        <f t="shared" si="10"/>
        <v>370</v>
      </c>
      <c r="E688" t="s">
        <v>7</v>
      </c>
      <c r="G688" s="1">
        <v>45634</v>
      </c>
    </row>
    <row r="689" spans="1:7" x14ac:dyDescent="0.3">
      <c r="A689" t="s">
        <v>64</v>
      </c>
      <c r="B689">
        <v>2</v>
      </c>
      <c r="C689">
        <v>300</v>
      </c>
      <c r="D689" s="2">
        <f t="shared" si="10"/>
        <v>600</v>
      </c>
      <c r="E689" t="s">
        <v>7</v>
      </c>
      <c r="G689" s="1">
        <v>45634</v>
      </c>
    </row>
    <row r="690" spans="1:7" x14ac:dyDescent="0.3">
      <c r="A690" t="s">
        <v>176</v>
      </c>
      <c r="B690">
        <v>0.2</v>
      </c>
      <c r="C690">
        <v>1250</v>
      </c>
      <c r="D690" s="2">
        <f t="shared" si="10"/>
        <v>250</v>
      </c>
      <c r="E690" t="s">
        <v>7</v>
      </c>
      <c r="G690" s="1">
        <v>45634</v>
      </c>
    </row>
    <row r="691" spans="1:7" x14ac:dyDescent="0.3">
      <c r="A691" t="s">
        <v>162</v>
      </c>
      <c r="B691">
        <v>2</v>
      </c>
      <c r="C691">
        <v>15</v>
      </c>
      <c r="D691" s="2">
        <f t="shared" si="10"/>
        <v>30</v>
      </c>
      <c r="E691" t="s">
        <v>7</v>
      </c>
      <c r="G691" s="1">
        <v>45635</v>
      </c>
    </row>
    <row r="692" spans="1:7" x14ac:dyDescent="0.3">
      <c r="A692" t="s">
        <v>176</v>
      </c>
      <c r="B692">
        <v>0.4</v>
      </c>
      <c r="C692">
        <v>500</v>
      </c>
      <c r="D692" s="2">
        <f t="shared" si="10"/>
        <v>200</v>
      </c>
      <c r="E692" t="s">
        <v>7</v>
      </c>
      <c r="G692" s="1">
        <v>45635</v>
      </c>
    </row>
    <row r="693" spans="1:7" x14ac:dyDescent="0.3">
      <c r="A693" t="s">
        <v>204</v>
      </c>
      <c r="B693">
        <v>1</v>
      </c>
      <c r="C693">
        <v>300</v>
      </c>
      <c r="D693" s="2">
        <f t="shared" si="10"/>
        <v>300</v>
      </c>
      <c r="E693" t="s">
        <v>7</v>
      </c>
      <c r="G693" s="1">
        <v>45635</v>
      </c>
    </row>
    <row r="694" spans="1:7" x14ac:dyDescent="0.3">
      <c r="A694" t="s">
        <v>170</v>
      </c>
      <c r="B694">
        <v>1</v>
      </c>
      <c r="C694">
        <v>200</v>
      </c>
      <c r="D694" s="2">
        <f t="shared" si="10"/>
        <v>200</v>
      </c>
      <c r="E694" t="s">
        <v>7</v>
      </c>
      <c r="G694" s="1">
        <v>45635</v>
      </c>
    </row>
    <row r="695" spans="1:7" x14ac:dyDescent="0.3">
      <c r="A695" t="s">
        <v>162</v>
      </c>
      <c r="B695">
        <v>1</v>
      </c>
      <c r="C695">
        <v>15</v>
      </c>
      <c r="D695" s="2">
        <f t="shared" si="10"/>
        <v>15</v>
      </c>
      <c r="E695" t="s">
        <v>7</v>
      </c>
      <c r="G695" s="1">
        <v>45636</v>
      </c>
    </row>
    <row r="696" spans="1:7" x14ac:dyDescent="0.3">
      <c r="A696" t="s">
        <v>204</v>
      </c>
      <c r="B696">
        <v>1</v>
      </c>
      <c r="C696">
        <v>350</v>
      </c>
      <c r="D696" s="2">
        <f t="shared" si="10"/>
        <v>350</v>
      </c>
      <c r="E696" t="s">
        <v>7</v>
      </c>
      <c r="G696" s="1">
        <v>45638</v>
      </c>
    </row>
    <row r="697" spans="1:7" x14ac:dyDescent="0.3">
      <c r="A697" t="s">
        <v>75</v>
      </c>
      <c r="B697">
        <v>1</v>
      </c>
      <c r="C697">
        <v>300</v>
      </c>
      <c r="D697" s="2">
        <f t="shared" si="10"/>
        <v>300</v>
      </c>
      <c r="E697" t="s">
        <v>7</v>
      </c>
      <c r="G697" s="1">
        <v>45640</v>
      </c>
    </row>
    <row r="698" spans="1:7" x14ac:dyDescent="0.3">
      <c r="A698" t="s">
        <v>162</v>
      </c>
      <c r="B698">
        <v>1</v>
      </c>
      <c r="C698">
        <v>10</v>
      </c>
      <c r="D698" s="2">
        <f t="shared" si="10"/>
        <v>10</v>
      </c>
      <c r="E698" t="s">
        <v>7</v>
      </c>
      <c r="G698" s="1">
        <v>45641</v>
      </c>
    </row>
    <row r="699" spans="1:7" x14ac:dyDescent="0.3">
      <c r="A699" t="s">
        <v>162</v>
      </c>
      <c r="B699">
        <v>2</v>
      </c>
      <c r="C699">
        <v>20</v>
      </c>
      <c r="D699" s="2">
        <f t="shared" si="10"/>
        <v>40</v>
      </c>
      <c r="E699" t="s">
        <v>7</v>
      </c>
      <c r="G699" s="1">
        <v>45644</v>
      </c>
    </row>
    <row r="700" spans="1:7" x14ac:dyDescent="0.3">
      <c r="A700" t="s">
        <v>185</v>
      </c>
      <c r="B700">
        <v>5</v>
      </c>
      <c r="C700">
        <v>1250</v>
      </c>
      <c r="D700" s="2">
        <f t="shared" si="10"/>
        <v>6250</v>
      </c>
      <c r="E700" t="s">
        <v>153</v>
      </c>
      <c r="G700" s="1">
        <v>45648</v>
      </c>
    </row>
    <row r="701" spans="1:7" x14ac:dyDescent="0.3">
      <c r="A701" t="s">
        <v>213</v>
      </c>
      <c r="B701">
        <v>3</v>
      </c>
      <c r="C701">
        <v>1450</v>
      </c>
      <c r="D701" s="2">
        <f t="shared" si="10"/>
        <v>4350</v>
      </c>
      <c r="E701" t="s">
        <v>153</v>
      </c>
      <c r="G701" s="1">
        <v>45648</v>
      </c>
    </row>
    <row r="702" spans="1:7" x14ac:dyDescent="0.3">
      <c r="A702" t="s">
        <v>221</v>
      </c>
      <c r="B702">
        <v>4</v>
      </c>
      <c r="C702">
        <v>1450</v>
      </c>
      <c r="D702" s="2">
        <f t="shared" si="10"/>
        <v>5800</v>
      </c>
      <c r="E702" t="s">
        <v>153</v>
      </c>
      <c r="G702" s="1">
        <v>45648</v>
      </c>
    </row>
    <row r="703" spans="1:7" x14ac:dyDescent="0.3">
      <c r="A703" t="s">
        <v>105</v>
      </c>
      <c r="B703">
        <v>4</v>
      </c>
      <c r="C703">
        <v>250</v>
      </c>
      <c r="D703" s="2">
        <f t="shared" si="10"/>
        <v>1000</v>
      </c>
      <c r="E703" t="s">
        <v>153</v>
      </c>
      <c r="G703" s="1">
        <v>45648</v>
      </c>
    </row>
    <row r="704" spans="1:7" x14ac:dyDescent="0.3">
      <c r="A704" t="s">
        <v>203</v>
      </c>
      <c r="B704">
        <v>3</v>
      </c>
      <c r="C704">
        <v>550</v>
      </c>
      <c r="D704" s="2">
        <f t="shared" si="10"/>
        <v>1650</v>
      </c>
      <c r="E704" t="s">
        <v>153</v>
      </c>
      <c r="G704" s="1">
        <v>45648</v>
      </c>
    </row>
    <row r="705" spans="1:7" x14ac:dyDescent="0.3">
      <c r="A705" t="s">
        <v>201</v>
      </c>
      <c r="B705">
        <v>6</v>
      </c>
      <c r="C705">
        <v>650</v>
      </c>
      <c r="D705" s="2">
        <f t="shared" si="10"/>
        <v>3900</v>
      </c>
      <c r="E705" t="s">
        <v>153</v>
      </c>
      <c r="G705" s="1">
        <v>45648</v>
      </c>
    </row>
    <row r="706" spans="1:7" x14ac:dyDescent="0.3">
      <c r="A706" t="s">
        <v>194</v>
      </c>
      <c r="B706">
        <v>4</v>
      </c>
      <c r="C706">
        <v>500</v>
      </c>
      <c r="D706" s="2">
        <f t="shared" si="10"/>
        <v>2000</v>
      </c>
      <c r="E706" t="s">
        <v>153</v>
      </c>
      <c r="G706" s="1">
        <v>45648</v>
      </c>
    </row>
    <row r="707" spans="1:7" x14ac:dyDescent="0.3">
      <c r="A707" t="s">
        <v>64</v>
      </c>
      <c r="B707">
        <v>1</v>
      </c>
      <c r="C707">
        <v>250</v>
      </c>
      <c r="D707" s="2">
        <f t="shared" si="10"/>
        <v>250</v>
      </c>
      <c r="E707" t="s">
        <v>7</v>
      </c>
      <c r="G707" s="1">
        <v>45648</v>
      </c>
    </row>
    <row r="708" spans="1:7" x14ac:dyDescent="0.3">
      <c r="A708" t="s">
        <v>170</v>
      </c>
      <c r="B708">
        <v>1</v>
      </c>
      <c r="C708">
        <v>300</v>
      </c>
      <c r="D708" s="2">
        <f t="shared" si="10"/>
        <v>300</v>
      </c>
      <c r="E708" t="s">
        <v>7</v>
      </c>
      <c r="G708" s="1">
        <v>45648</v>
      </c>
    </row>
    <row r="709" spans="1:7" x14ac:dyDescent="0.3">
      <c r="A709" t="s">
        <v>44</v>
      </c>
      <c r="B709">
        <v>1</v>
      </c>
      <c r="C709">
        <v>100</v>
      </c>
      <c r="D709" s="2">
        <f t="shared" si="10"/>
        <v>100</v>
      </c>
      <c r="E709" t="s">
        <v>7</v>
      </c>
      <c r="G709" s="1">
        <v>45648</v>
      </c>
    </row>
    <row r="710" spans="1:7" x14ac:dyDescent="0.3">
      <c r="A710" t="s">
        <v>64</v>
      </c>
      <c r="B710">
        <v>1</v>
      </c>
      <c r="C710">
        <v>250</v>
      </c>
      <c r="D710" s="2">
        <f t="shared" si="10"/>
        <v>250</v>
      </c>
      <c r="E710" t="s">
        <v>7</v>
      </c>
      <c r="G710" s="1">
        <v>45649</v>
      </c>
    </row>
    <row r="711" spans="1:7" x14ac:dyDescent="0.3">
      <c r="A711" t="s">
        <v>170</v>
      </c>
      <c r="B711">
        <v>1</v>
      </c>
      <c r="C711">
        <v>250</v>
      </c>
      <c r="D711" s="2">
        <f t="shared" si="10"/>
        <v>250</v>
      </c>
      <c r="E711" t="s">
        <v>7</v>
      </c>
      <c r="G711" s="1">
        <v>45649</v>
      </c>
    </row>
    <row r="712" spans="1:7" x14ac:dyDescent="0.3">
      <c r="A712" t="s">
        <v>173</v>
      </c>
      <c r="B712">
        <v>1</v>
      </c>
      <c r="C712">
        <v>200</v>
      </c>
      <c r="D712" s="2">
        <f t="shared" si="10"/>
        <v>200</v>
      </c>
      <c r="E712" t="s">
        <v>7</v>
      </c>
      <c r="G712" s="1">
        <v>45650</v>
      </c>
    </row>
    <row r="713" spans="1:7" x14ac:dyDescent="0.3">
      <c r="A713" t="s">
        <v>212</v>
      </c>
      <c r="B713">
        <v>1</v>
      </c>
      <c r="C713">
        <v>135</v>
      </c>
      <c r="D713" s="2">
        <f t="shared" si="10"/>
        <v>135</v>
      </c>
      <c r="E713" t="s">
        <v>7</v>
      </c>
      <c r="G713" s="1">
        <v>45650</v>
      </c>
    </row>
    <row r="714" spans="1:7" x14ac:dyDescent="0.3">
      <c r="A714" t="s">
        <v>162</v>
      </c>
      <c r="B714">
        <v>2</v>
      </c>
      <c r="C714">
        <v>15</v>
      </c>
      <c r="D714" s="2">
        <f t="shared" si="10"/>
        <v>30</v>
      </c>
      <c r="E714" t="s">
        <v>7</v>
      </c>
      <c r="G714" s="1">
        <v>45652</v>
      </c>
    </row>
    <row r="715" spans="1:7" x14ac:dyDescent="0.3">
      <c r="A715" t="s">
        <v>212</v>
      </c>
      <c r="B715">
        <v>0.5</v>
      </c>
      <c r="C715">
        <v>110</v>
      </c>
      <c r="D715" s="2">
        <f t="shared" si="10"/>
        <v>55</v>
      </c>
      <c r="E715" t="s">
        <v>7</v>
      </c>
      <c r="G715" s="1">
        <v>45652</v>
      </c>
    </row>
    <row r="716" spans="1:7" x14ac:dyDescent="0.3">
      <c r="A716" t="s">
        <v>212</v>
      </c>
      <c r="B716">
        <v>3</v>
      </c>
      <c r="C716">
        <v>150</v>
      </c>
      <c r="D716" s="2">
        <f t="shared" si="10"/>
        <v>450</v>
      </c>
      <c r="E716" t="s">
        <v>7</v>
      </c>
      <c r="G716" s="1">
        <v>45653</v>
      </c>
    </row>
    <row r="717" spans="1:7" x14ac:dyDescent="0.3">
      <c r="A717" t="s">
        <v>212</v>
      </c>
      <c r="B717">
        <v>0.5</v>
      </c>
      <c r="C717">
        <v>140</v>
      </c>
      <c r="D717" s="2">
        <f t="shared" si="10"/>
        <v>70</v>
      </c>
      <c r="E717" t="s">
        <v>7</v>
      </c>
      <c r="F717" t="s">
        <v>17</v>
      </c>
      <c r="G717" s="1">
        <v>45654</v>
      </c>
    </row>
    <row r="718" spans="1:7" x14ac:dyDescent="0.3">
      <c r="A718" t="s">
        <v>212</v>
      </c>
      <c r="B718">
        <v>3</v>
      </c>
      <c r="C718">
        <v>143.30000000000001</v>
      </c>
      <c r="D718" s="2">
        <f t="shared" si="10"/>
        <v>429.90000000000003</v>
      </c>
      <c r="E718" t="s">
        <v>7</v>
      </c>
      <c r="G718" s="1">
        <v>45655</v>
      </c>
    </row>
    <row r="719" spans="1:7" x14ac:dyDescent="0.3">
      <c r="A719" t="s">
        <v>212</v>
      </c>
      <c r="B719">
        <v>1</v>
      </c>
      <c r="C719">
        <v>150</v>
      </c>
      <c r="D719" s="2">
        <f t="shared" si="10"/>
        <v>150</v>
      </c>
      <c r="E719" t="s">
        <v>7</v>
      </c>
      <c r="G719" s="1">
        <v>45655</v>
      </c>
    </row>
    <row r="720" spans="1:7" x14ac:dyDescent="0.3">
      <c r="A720" t="s">
        <v>65</v>
      </c>
      <c r="B720">
        <v>1</v>
      </c>
      <c r="C720">
        <v>320</v>
      </c>
      <c r="D720" s="2">
        <f t="shared" si="10"/>
        <v>320</v>
      </c>
      <c r="E720" t="s">
        <v>7</v>
      </c>
      <c r="G720" s="1">
        <v>45655</v>
      </c>
    </row>
    <row r="721" spans="1:7" x14ac:dyDescent="0.3">
      <c r="A721" t="s">
        <v>64</v>
      </c>
      <c r="B721">
        <v>1</v>
      </c>
      <c r="C721">
        <v>250</v>
      </c>
      <c r="D721" s="2">
        <f t="shared" si="10"/>
        <v>250</v>
      </c>
      <c r="E721" t="s">
        <v>7</v>
      </c>
      <c r="G721" s="1">
        <v>45656</v>
      </c>
    </row>
    <row r="722" spans="1:7" x14ac:dyDescent="0.3">
      <c r="A722" t="s">
        <v>212</v>
      </c>
      <c r="B722">
        <v>0.5</v>
      </c>
      <c r="C722">
        <v>140</v>
      </c>
      <c r="D722" s="2">
        <f t="shared" si="10"/>
        <v>70</v>
      </c>
      <c r="E722" t="s">
        <v>7</v>
      </c>
      <c r="G722" s="1">
        <v>45656</v>
      </c>
    </row>
    <row r="723" spans="1:7" x14ac:dyDescent="0.3">
      <c r="A723" t="s">
        <v>162</v>
      </c>
      <c r="B723">
        <v>2</v>
      </c>
      <c r="C723">
        <v>10</v>
      </c>
      <c r="D723" s="2">
        <f t="shared" si="10"/>
        <v>20</v>
      </c>
      <c r="E723" t="s">
        <v>7</v>
      </c>
      <c r="G723" s="1">
        <v>45656</v>
      </c>
    </row>
    <row r="724" spans="1:7" x14ac:dyDescent="0.3">
      <c r="A724" t="s">
        <v>64</v>
      </c>
      <c r="B724">
        <v>2</v>
      </c>
      <c r="C724">
        <v>300</v>
      </c>
      <c r="D724" s="2">
        <f t="shared" si="10"/>
        <v>600</v>
      </c>
      <c r="E724" t="s">
        <v>7</v>
      </c>
      <c r="G724" s="1">
        <v>45657</v>
      </c>
    </row>
    <row r="725" spans="1:7" x14ac:dyDescent="0.3">
      <c r="A725" t="s">
        <v>176</v>
      </c>
      <c r="B725">
        <v>0.2</v>
      </c>
      <c r="C725" s="2">
        <v>500</v>
      </c>
      <c r="D725" s="2">
        <f t="shared" si="10"/>
        <v>100</v>
      </c>
      <c r="E725" t="s">
        <v>7</v>
      </c>
      <c r="G725" s="1">
        <v>45657</v>
      </c>
    </row>
    <row r="726" spans="1:7" x14ac:dyDescent="0.3">
      <c r="A726" t="s">
        <v>162</v>
      </c>
      <c r="B726">
        <v>2</v>
      </c>
      <c r="C726">
        <v>15</v>
      </c>
      <c r="D726" s="2">
        <f t="shared" si="10"/>
        <v>30</v>
      </c>
      <c r="E726" t="s">
        <v>7</v>
      </c>
      <c r="G726" s="1">
        <v>45658</v>
      </c>
    </row>
    <row r="727" spans="1:7" x14ac:dyDescent="0.3">
      <c r="A727" t="s">
        <v>173</v>
      </c>
      <c r="B727">
        <v>1</v>
      </c>
      <c r="C727">
        <v>150</v>
      </c>
      <c r="D727" s="2">
        <f t="shared" si="10"/>
        <v>150</v>
      </c>
      <c r="E727" t="s">
        <v>7</v>
      </c>
      <c r="G727" s="1">
        <v>45661</v>
      </c>
    </row>
    <row r="728" spans="1:7" x14ac:dyDescent="0.3">
      <c r="A728" t="s">
        <v>64</v>
      </c>
      <c r="B728">
        <v>1</v>
      </c>
      <c r="C728">
        <v>300</v>
      </c>
      <c r="D728" s="2">
        <f t="shared" si="10"/>
        <v>300</v>
      </c>
      <c r="E728" t="s">
        <v>7</v>
      </c>
      <c r="G728" s="1">
        <v>45661</v>
      </c>
    </row>
    <row r="729" spans="1:7" x14ac:dyDescent="0.3">
      <c r="A729" t="s">
        <v>162</v>
      </c>
      <c r="B729">
        <v>2</v>
      </c>
      <c r="C729">
        <v>15</v>
      </c>
      <c r="D729" s="2">
        <f t="shared" si="10"/>
        <v>30</v>
      </c>
      <c r="E729" t="s">
        <v>7</v>
      </c>
      <c r="G729" s="1">
        <v>45664</v>
      </c>
    </row>
    <row r="730" spans="1:7" x14ac:dyDescent="0.3">
      <c r="A730" t="s">
        <v>64</v>
      </c>
      <c r="B730">
        <v>1</v>
      </c>
      <c r="C730">
        <v>300</v>
      </c>
      <c r="D730" s="2">
        <f t="shared" si="10"/>
        <v>300</v>
      </c>
      <c r="E730" t="s">
        <v>7</v>
      </c>
      <c r="G730" s="1">
        <v>45665</v>
      </c>
    </row>
    <row r="731" spans="1:7" x14ac:dyDescent="0.3">
      <c r="A731" t="s">
        <v>176</v>
      </c>
      <c r="B731">
        <v>0.2</v>
      </c>
      <c r="C731" s="2">
        <v>500</v>
      </c>
      <c r="D731" s="2">
        <f t="shared" si="10"/>
        <v>100</v>
      </c>
      <c r="E731" t="s">
        <v>7</v>
      </c>
      <c r="G731" s="1">
        <v>45666</v>
      </c>
    </row>
    <row r="732" spans="1:7" x14ac:dyDescent="0.3">
      <c r="A732" t="s">
        <v>162</v>
      </c>
      <c r="B732">
        <v>1</v>
      </c>
      <c r="C732">
        <v>15</v>
      </c>
      <c r="D732" s="2">
        <f t="shared" si="10"/>
        <v>15</v>
      </c>
      <c r="E732" t="s">
        <v>7</v>
      </c>
      <c r="G732" s="1">
        <v>45666</v>
      </c>
    </row>
    <row r="733" spans="1:7" x14ac:dyDescent="0.3">
      <c r="A733" t="s">
        <v>179</v>
      </c>
      <c r="B733">
        <v>1</v>
      </c>
      <c r="C733">
        <v>350</v>
      </c>
      <c r="D733" s="2">
        <f t="shared" si="10"/>
        <v>350</v>
      </c>
      <c r="E733" t="s">
        <v>7</v>
      </c>
      <c r="G733" s="1">
        <v>45668</v>
      </c>
    </row>
    <row r="734" spans="1:7" x14ac:dyDescent="0.3">
      <c r="A734" t="s">
        <v>165</v>
      </c>
      <c r="B734">
        <v>1</v>
      </c>
      <c r="C734">
        <v>200</v>
      </c>
      <c r="D734" s="2">
        <f t="shared" si="10"/>
        <v>200</v>
      </c>
      <c r="E734" t="s">
        <v>7</v>
      </c>
      <c r="G734" s="1">
        <v>45668</v>
      </c>
    </row>
    <row r="735" spans="1:7" x14ac:dyDescent="0.3">
      <c r="A735" t="s">
        <v>64</v>
      </c>
      <c r="B735">
        <v>1</v>
      </c>
      <c r="C735">
        <v>250</v>
      </c>
      <c r="D735" s="2">
        <f t="shared" si="10"/>
        <v>250</v>
      </c>
      <c r="E735" t="s">
        <v>7</v>
      </c>
      <c r="G735" s="1">
        <v>45668</v>
      </c>
    </row>
    <row r="736" spans="1:7" x14ac:dyDescent="0.3">
      <c r="A736" t="s">
        <v>162</v>
      </c>
      <c r="B736">
        <v>1</v>
      </c>
      <c r="C736">
        <v>12</v>
      </c>
      <c r="D736" s="2">
        <f t="shared" si="10"/>
        <v>12</v>
      </c>
      <c r="E736" t="s">
        <v>7</v>
      </c>
      <c r="G736" s="1">
        <v>45668</v>
      </c>
    </row>
    <row r="737" spans="1:7" x14ac:dyDescent="0.3">
      <c r="A737" t="s">
        <v>162</v>
      </c>
      <c r="B737">
        <v>1</v>
      </c>
      <c r="C737">
        <v>15</v>
      </c>
      <c r="D737" s="2">
        <f t="shared" si="10"/>
        <v>15</v>
      </c>
      <c r="E737" t="s">
        <v>7</v>
      </c>
      <c r="G737" s="1">
        <v>45670</v>
      </c>
    </row>
    <row r="738" spans="1:7" x14ac:dyDescent="0.3">
      <c r="A738" t="s">
        <v>162</v>
      </c>
      <c r="B738">
        <v>1</v>
      </c>
      <c r="C738">
        <v>15</v>
      </c>
      <c r="D738" s="2">
        <f t="shared" si="10"/>
        <v>15</v>
      </c>
      <c r="E738" t="s">
        <v>7</v>
      </c>
      <c r="G738" s="1">
        <v>45671</v>
      </c>
    </row>
    <row r="739" spans="1:7" x14ac:dyDescent="0.3">
      <c r="A739" t="s">
        <v>213</v>
      </c>
      <c r="B739">
        <v>20</v>
      </c>
      <c r="C739">
        <v>1700</v>
      </c>
      <c r="D739" s="2">
        <f t="shared" si="10"/>
        <v>34000</v>
      </c>
      <c r="E739" t="s">
        <v>113</v>
      </c>
      <c r="G739" s="1">
        <v>45675</v>
      </c>
    </row>
    <row r="740" spans="1:7" x14ac:dyDescent="0.3">
      <c r="A740" t="s">
        <v>185</v>
      </c>
      <c r="B740">
        <v>20</v>
      </c>
      <c r="C740">
        <v>1000</v>
      </c>
      <c r="D740" s="2">
        <f t="shared" si="10"/>
        <v>20000</v>
      </c>
      <c r="E740" t="s">
        <v>113</v>
      </c>
      <c r="G740" s="1">
        <v>45675</v>
      </c>
    </row>
    <row r="741" spans="1:7" x14ac:dyDescent="0.3">
      <c r="A741" t="s">
        <v>221</v>
      </c>
      <c r="B741">
        <v>20</v>
      </c>
      <c r="C741">
        <v>1600</v>
      </c>
      <c r="D741" s="2">
        <f t="shared" si="10"/>
        <v>32000</v>
      </c>
      <c r="E741" t="s">
        <v>113</v>
      </c>
      <c r="G741" s="1">
        <v>45675</v>
      </c>
    </row>
    <row r="742" spans="1:7" x14ac:dyDescent="0.3">
      <c r="A742" t="s">
        <v>194</v>
      </c>
      <c r="B742">
        <v>25</v>
      </c>
      <c r="C742">
        <v>1500</v>
      </c>
      <c r="D742" s="2">
        <f t="shared" si="10"/>
        <v>37500</v>
      </c>
      <c r="E742" t="s">
        <v>113</v>
      </c>
      <c r="G742" s="1">
        <v>45675</v>
      </c>
    </row>
    <row r="743" spans="1:7" x14ac:dyDescent="0.3">
      <c r="A743" t="s">
        <v>176</v>
      </c>
      <c r="B743">
        <v>15</v>
      </c>
      <c r="C743">
        <v>700</v>
      </c>
      <c r="D743" s="2">
        <f t="shared" si="10"/>
        <v>10500</v>
      </c>
      <c r="E743" t="s">
        <v>113</v>
      </c>
      <c r="G743" s="1">
        <v>45675</v>
      </c>
    </row>
    <row r="744" spans="1:7" x14ac:dyDescent="0.3">
      <c r="A744" t="s">
        <v>212</v>
      </c>
      <c r="B744">
        <v>2</v>
      </c>
      <c r="C744">
        <v>3500</v>
      </c>
      <c r="D744" s="2">
        <f t="shared" si="10"/>
        <v>7000</v>
      </c>
      <c r="E744" t="s">
        <v>113</v>
      </c>
      <c r="G744" s="1">
        <v>45675</v>
      </c>
    </row>
    <row r="745" spans="1:7" x14ac:dyDescent="0.3">
      <c r="A745" t="s">
        <v>65</v>
      </c>
      <c r="B745">
        <v>1</v>
      </c>
      <c r="C745">
        <v>85</v>
      </c>
      <c r="D745" s="2">
        <f t="shared" si="10"/>
        <v>85</v>
      </c>
      <c r="E745" t="s">
        <v>7</v>
      </c>
      <c r="G745" s="1">
        <v>45675</v>
      </c>
    </row>
    <row r="746" spans="1:7" x14ac:dyDescent="0.3">
      <c r="A746" t="s">
        <v>212</v>
      </c>
      <c r="B746">
        <v>1</v>
      </c>
      <c r="C746">
        <v>2000</v>
      </c>
      <c r="D746" s="2">
        <f t="shared" si="10"/>
        <v>2000</v>
      </c>
      <c r="E746" t="s">
        <v>7</v>
      </c>
      <c r="G746" s="1">
        <v>45676</v>
      </c>
    </row>
    <row r="747" spans="1:7" x14ac:dyDescent="0.3">
      <c r="A747" t="s">
        <v>170</v>
      </c>
      <c r="B747">
        <v>1</v>
      </c>
      <c r="C747">
        <v>300</v>
      </c>
      <c r="D747" s="2">
        <f t="shared" si="10"/>
        <v>300</v>
      </c>
      <c r="E747" t="s">
        <v>7</v>
      </c>
      <c r="G747" s="1">
        <v>45676</v>
      </c>
    </row>
    <row r="748" spans="1:7" x14ac:dyDescent="0.3">
      <c r="A748" t="s">
        <v>64</v>
      </c>
      <c r="B748">
        <v>1</v>
      </c>
      <c r="C748">
        <v>300</v>
      </c>
      <c r="D748" s="2">
        <f t="shared" si="10"/>
        <v>300</v>
      </c>
      <c r="E748" t="s">
        <v>7</v>
      </c>
      <c r="G748" s="1">
        <v>45676</v>
      </c>
    </row>
    <row r="749" spans="1:7" x14ac:dyDescent="0.3">
      <c r="A749" t="s">
        <v>173</v>
      </c>
      <c r="B749">
        <v>1</v>
      </c>
      <c r="C749">
        <v>200</v>
      </c>
      <c r="D749" s="2">
        <f t="shared" si="10"/>
        <v>200</v>
      </c>
      <c r="E749" t="s">
        <v>7</v>
      </c>
      <c r="G749" s="1">
        <v>45676</v>
      </c>
    </row>
    <row r="750" spans="1:7" x14ac:dyDescent="0.3">
      <c r="A750" t="s">
        <v>165</v>
      </c>
      <c r="B750">
        <v>2</v>
      </c>
      <c r="C750">
        <v>300</v>
      </c>
      <c r="D750" s="2">
        <f t="shared" si="10"/>
        <v>600</v>
      </c>
      <c r="E750" t="s">
        <v>7</v>
      </c>
      <c r="G750" s="1">
        <v>45676</v>
      </c>
    </row>
    <row r="751" spans="1:7" x14ac:dyDescent="0.3">
      <c r="A751" t="s">
        <v>64</v>
      </c>
      <c r="B751">
        <v>1</v>
      </c>
      <c r="C751">
        <v>300</v>
      </c>
      <c r="D751" s="2">
        <f t="shared" si="10"/>
        <v>300</v>
      </c>
      <c r="E751" t="s">
        <v>7</v>
      </c>
      <c r="G751" s="1">
        <v>45678</v>
      </c>
    </row>
    <row r="752" spans="1:7" x14ac:dyDescent="0.3">
      <c r="A752" t="s">
        <v>162</v>
      </c>
      <c r="B752">
        <v>2</v>
      </c>
      <c r="C752">
        <v>15</v>
      </c>
      <c r="D752" s="2">
        <f t="shared" si="10"/>
        <v>30</v>
      </c>
      <c r="E752" t="s">
        <v>7</v>
      </c>
      <c r="G752" s="1">
        <v>45678</v>
      </c>
    </row>
    <row r="753" spans="1:7" x14ac:dyDescent="0.3">
      <c r="A753" t="s">
        <v>65</v>
      </c>
      <c r="B753">
        <v>2</v>
      </c>
      <c r="C753">
        <v>350</v>
      </c>
      <c r="D753" s="2">
        <f t="shared" si="10"/>
        <v>700</v>
      </c>
      <c r="E753" t="s">
        <v>7</v>
      </c>
      <c r="G753" s="1">
        <v>45678</v>
      </c>
    </row>
    <row r="754" spans="1:7" x14ac:dyDescent="0.3">
      <c r="A754" t="s">
        <v>211</v>
      </c>
      <c r="B754">
        <v>1</v>
      </c>
      <c r="C754">
        <v>100</v>
      </c>
      <c r="D754" s="2">
        <f t="shared" si="10"/>
        <v>100</v>
      </c>
      <c r="E754" t="s">
        <v>7</v>
      </c>
      <c r="G754" s="1">
        <v>45678</v>
      </c>
    </row>
    <row r="755" spans="1:7" x14ac:dyDescent="0.3">
      <c r="A755" t="s">
        <v>64</v>
      </c>
      <c r="B755">
        <v>1</v>
      </c>
      <c r="C755">
        <v>270</v>
      </c>
      <c r="D755" s="2">
        <f t="shared" si="10"/>
        <v>270</v>
      </c>
      <c r="E755" t="s">
        <v>7</v>
      </c>
      <c r="G755" s="1">
        <v>45678</v>
      </c>
    </row>
    <row r="756" spans="1:7" x14ac:dyDescent="0.3">
      <c r="A756" t="s">
        <v>165</v>
      </c>
      <c r="B756">
        <v>1</v>
      </c>
      <c r="C756">
        <v>150</v>
      </c>
      <c r="D756" s="2">
        <f t="shared" si="10"/>
        <v>150</v>
      </c>
      <c r="E756" t="s">
        <v>7</v>
      </c>
      <c r="G756" s="1">
        <v>45678</v>
      </c>
    </row>
    <row r="757" spans="1:7" x14ac:dyDescent="0.3">
      <c r="A757" t="s">
        <v>162</v>
      </c>
      <c r="B757">
        <v>1</v>
      </c>
      <c r="C757">
        <v>15</v>
      </c>
      <c r="D757" s="2">
        <f t="shared" si="10"/>
        <v>15</v>
      </c>
      <c r="E757" t="s">
        <v>7</v>
      </c>
      <c r="G757" s="1">
        <v>45679</v>
      </c>
    </row>
    <row r="758" spans="1:7" x14ac:dyDescent="0.3">
      <c r="A758" t="s">
        <v>173</v>
      </c>
      <c r="B758">
        <v>1</v>
      </c>
      <c r="C758">
        <v>200</v>
      </c>
      <c r="D758" s="2">
        <f t="shared" si="10"/>
        <v>200</v>
      </c>
      <c r="E758" t="s">
        <v>7</v>
      </c>
      <c r="G758" s="1">
        <v>45680</v>
      </c>
    </row>
    <row r="759" spans="1:7" x14ac:dyDescent="0.3">
      <c r="A759" t="s">
        <v>65</v>
      </c>
      <c r="B759">
        <v>6.5000000000000002E-2</v>
      </c>
      <c r="C759">
        <v>1080</v>
      </c>
      <c r="D759" s="2">
        <f t="shared" si="10"/>
        <v>70.2</v>
      </c>
      <c r="E759" t="s">
        <v>7</v>
      </c>
      <c r="G759" s="1">
        <v>45680</v>
      </c>
    </row>
    <row r="760" spans="1:7" x14ac:dyDescent="0.3">
      <c r="A760" s="16" t="s">
        <v>181</v>
      </c>
      <c r="B760">
        <v>6</v>
      </c>
      <c r="C760">
        <v>150</v>
      </c>
      <c r="D760" s="2">
        <f t="shared" si="10"/>
        <v>900</v>
      </c>
      <c r="E760" t="s">
        <v>153</v>
      </c>
      <c r="G760" s="1">
        <v>45682</v>
      </c>
    </row>
    <row r="761" spans="1:7" x14ac:dyDescent="0.3">
      <c r="A761" t="s">
        <v>203</v>
      </c>
      <c r="B761">
        <v>3</v>
      </c>
      <c r="C761">
        <v>550</v>
      </c>
      <c r="D761" s="2">
        <f t="shared" si="10"/>
        <v>1650</v>
      </c>
      <c r="E761" t="s">
        <v>153</v>
      </c>
      <c r="G761" s="1">
        <v>45682</v>
      </c>
    </row>
    <row r="762" spans="1:7" x14ac:dyDescent="0.3">
      <c r="A762" t="s">
        <v>173</v>
      </c>
      <c r="B762">
        <v>6</v>
      </c>
      <c r="C762">
        <v>250</v>
      </c>
      <c r="D762" s="2">
        <f t="shared" si="10"/>
        <v>1500</v>
      </c>
      <c r="E762" t="s">
        <v>153</v>
      </c>
      <c r="G762" s="1">
        <v>45682</v>
      </c>
    </row>
    <row r="763" spans="1:7" x14ac:dyDescent="0.3">
      <c r="A763" t="s">
        <v>225</v>
      </c>
      <c r="B763">
        <v>3</v>
      </c>
      <c r="C763">
        <v>40</v>
      </c>
      <c r="D763" s="2">
        <f t="shared" si="10"/>
        <v>120</v>
      </c>
      <c r="E763" t="s">
        <v>7</v>
      </c>
      <c r="G763" s="1">
        <v>45682</v>
      </c>
    </row>
    <row r="764" spans="1:7" x14ac:dyDescent="0.3">
      <c r="A764" t="s">
        <v>193</v>
      </c>
      <c r="B764">
        <v>1</v>
      </c>
      <c r="C764">
        <v>350</v>
      </c>
      <c r="D764" s="2">
        <f t="shared" si="10"/>
        <v>350</v>
      </c>
      <c r="E764" t="s">
        <v>7</v>
      </c>
      <c r="G764" s="1">
        <v>45682</v>
      </c>
    </row>
    <row r="765" spans="1:7" x14ac:dyDescent="0.3">
      <c r="A765" t="s">
        <v>65</v>
      </c>
      <c r="B765">
        <v>1</v>
      </c>
      <c r="C765">
        <v>350</v>
      </c>
      <c r="D765" s="2">
        <f t="shared" si="10"/>
        <v>350</v>
      </c>
      <c r="E765" t="s">
        <v>7</v>
      </c>
      <c r="G765" s="1">
        <v>45682</v>
      </c>
    </row>
    <row r="766" spans="1:7" x14ac:dyDescent="0.3">
      <c r="A766" t="s">
        <v>162</v>
      </c>
      <c r="B766">
        <v>3</v>
      </c>
      <c r="C766">
        <v>15</v>
      </c>
      <c r="D766" s="2">
        <f t="shared" si="10"/>
        <v>45</v>
      </c>
      <c r="E766" t="s">
        <v>7</v>
      </c>
      <c r="G766" s="1">
        <v>45682</v>
      </c>
    </row>
    <row r="767" spans="1:7" x14ac:dyDescent="0.3">
      <c r="A767" t="s">
        <v>64</v>
      </c>
      <c r="B767">
        <v>1</v>
      </c>
      <c r="C767">
        <v>300</v>
      </c>
      <c r="D767" s="2">
        <f t="shared" si="10"/>
        <v>300</v>
      </c>
      <c r="E767" t="s">
        <v>7</v>
      </c>
      <c r="G767" s="1">
        <v>45682</v>
      </c>
    </row>
    <row r="768" spans="1:7" x14ac:dyDescent="0.3">
      <c r="A768" t="s">
        <v>65</v>
      </c>
      <c r="B768">
        <v>1</v>
      </c>
      <c r="C768">
        <v>350</v>
      </c>
      <c r="D768" s="2">
        <f t="shared" si="10"/>
        <v>350</v>
      </c>
      <c r="E768" t="s">
        <v>7</v>
      </c>
      <c r="G768" s="1">
        <v>45683</v>
      </c>
    </row>
    <row r="769" spans="1:7" x14ac:dyDescent="0.3">
      <c r="A769" t="s">
        <v>211</v>
      </c>
      <c r="B769">
        <v>1</v>
      </c>
      <c r="C769">
        <v>100</v>
      </c>
      <c r="D769" s="2">
        <f t="shared" si="10"/>
        <v>100</v>
      </c>
      <c r="E769" t="s">
        <v>7</v>
      </c>
      <c r="G769" s="1">
        <v>45683</v>
      </c>
    </row>
    <row r="770" spans="1:7" x14ac:dyDescent="0.3">
      <c r="A770" t="s">
        <v>233</v>
      </c>
      <c r="B770">
        <v>3</v>
      </c>
      <c r="C770">
        <v>400</v>
      </c>
      <c r="D770" s="2">
        <f t="shared" si="10"/>
        <v>1200</v>
      </c>
      <c r="E770" t="s">
        <v>7</v>
      </c>
      <c r="G770" s="1">
        <v>45683</v>
      </c>
    </row>
    <row r="771" spans="1:7" x14ac:dyDescent="0.3">
      <c r="A771" t="s">
        <v>170</v>
      </c>
      <c r="B771">
        <v>1</v>
      </c>
      <c r="C771">
        <v>300</v>
      </c>
      <c r="D771" s="2">
        <f t="shared" si="10"/>
        <v>300</v>
      </c>
      <c r="E771" t="s">
        <v>7</v>
      </c>
      <c r="G771" s="1">
        <v>45683</v>
      </c>
    </row>
    <row r="772" spans="1:7" x14ac:dyDescent="0.3">
      <c r="A772" t="s">
        <v>162</v>
      </c>
      <c r="B772">
        <v>1</v>
      </c>
      <c r="C772">
        <v>20</v>
      </c>
      <c r="D772" s="2">
        <f t="shared" si="10"/>
        <v>20</v>
      </c>
      <c r="E772" t="s">
        <v>7</v>
      </c>
      <c r="G772" s="1">
        <v>45683</v>
      </c>
    </row>
    <row r="773" spans="1:7" x14ac:dyDescent="0.3">
      <c r="A773" t="s">
        <v>165</v>
      </c>
      <c r="B773">
        <v>1</v>
      </c>
      <c r="C773">
        <v>180</v>
      </c>
      <c r="D773" s="2">
        <f t="shared" si="10"/>
        <v>180</v>
      </c>
      <c r="E773" t="s">
        <v>7</v>
      </c>
      <c r="G773" s="1">
        <v>45684</v>
      </c>
    </row>
    <row r="774" spans="1:7" x14ac:dyDescent="0.3">
      <c r="A774" t="s">
        <v>173</v>
      </c>
      <c r="B774">
        <v>1</v>
      </c>
      <c r="C774">
        <v>150</v>
      </c>
      <c r="D774" s="2">
        <f t="shared" si="10"/>
        <v>150</v>
      </c>
      <c r="E774" t="s">
        <v>7</v>
      </c>
      <c r="G774" s="1">
        <v>45684</v>
      </c>
    </row>
    <row r="775" spans="1:7" x14ac:dyDescent="0.3">
      <c r="A775" t="s">
        <v>211</v>
      </c>
      <c r="B775">
        <v>1</v>
      </c>
      <c r="C775">
        <v>100</v>
      </c>
      <c r="D775" s="2">
        <f t="shared" si="10"/>
        <v>100</v>
      </c>
      <c r="E775" t="s">
        <v>7</v>
      </c>
      <c r="G775" s="1">
        <v>45684</v>
      </c>
    </row>
    <row r="776" spans="1:7" x14ac:dyDescent="0.3">
      <c r="A776" t="s">
        <v>179</v>
      </c>
      <c r="B776">
        <v>0.13500000000000001</v>
      </c>
      <c r="C776">
        <v>1100</v>
      </c>
      <c r="D776" s="2">
        <f t="shared" si="10"/>
        <v>148.5</v>
      </c>
      <c r="E776" t="s">
        <v>7</v>
      </c>
      <c r="G776" s="1">
        <v>45684</v>
      </c>
    </row>
    <row r="777" spans="1:7" x14ac:dyDescent="0.3">
      <c r="A777" t="s">
        <v>170</v>
      </c>
      <c r="B777">
        <v>1</v>
      </c>
      <c r="C777">
        <v>350</v>
      </c>
      <c r="D777" s="2">
        <f t="shared" si="10"/>
        <v>350</v>
      </c>
      <c r="E777" t="s">
        <v>7</v>
      </c>
      <c r="G777" s="1">
        <v>45684</v>
      </c>
    </row>
    <row r="778" spans="1:7" x14ac:dyDescent="0.3">
      <c r="A778" t="s">
        <v>162</v>
      </c>
      <c r="B778">
        <v>1</v>
      </c>
      <c r="C778">
        <v>15</v>
      </c>
      <c r="D778" s="2">
        <f t="shared" si="10"/>
        <v>15</v>
      </c>
      <c r="E778" t="s">
        <v>7</v>
      </c>
      <c r="G778" s="1">
        <v>45684</v>
      </c>
    </row>
    <row r="779" spans="1:7" x14ac:dyDescent="0.3">
      <c r="A779" t="s">
        <v>212</v>
      </c>
      <c r="B779">
        <v>1</v>
      </c>
      <c r="C779">
        <v>250</v>
      </c>
      <c r="D779" s="2">
        <f t="shared" si="10"/>
        <v>250</v>
      </c>
      <c r="E779" t="s">
        <v>7</v>
      </c>
      <c r="G779" s="1">
        <v>45685</v>
      </c>
    </row>
    <row r="780" spans="1:7" x14ac:dyDescent="0.3">
      <c r="A780" t="s">
        <v>167</v>
      </c>
      <c r="B780">
        <v>2</v>
      </c>
      <c r="C780">
        <v>250</v>
      </c>
      <c r="D780" s="2">
        <f t="shared" si="10"/>
        <v>500</v>
      </c>
      <c r="E780" t="s">
        <v>7</v>
      </c>
      <c r="G780" s="1">
        <v>45686</v>
      </c>
    </row>
    <row r="781" spans="1:7" x14ac:dyDescent="0.3">
      <c r="A781" s="16" t="s">
        <v>181</v>
      </c>
      <c r="B781">
        <v>2</v>
      </c>
      <c r="C781">
        <v>125</v>
      </c>
      <c r="D781" s="2">
        <f t="shared" si="10"/>
        <v>250</v>
      </c>
      <c r="E781" t="s">
        <v>7</v>
      </c>
      <c r="G781" s="1">
        <v>45686</v>
      </c>
    </row>
    <row r="782" spans="1:7" x14ac:dyDescent="0.3">
      <c r="A782" t="s">
        <v>65</v>
      </c>
      <c r="B782">
        <v>1</v>
      </c>
      <c r="C782">
        <v>350</v>
      </c>
      <c r="D782" s="2">
        <f t="shared" si="10"/>
        <v>350</v>
      </c>
      <c r="E782" t="s">
        <v>7</v>
      </c>
      <c r="G782" s="1">
        <v>45686</v>
      </c>
    </row>
    <row r="783" spans="1:7" x14ac:dyDescent="0.3">
      <c r="A783" t="s">
        <v>64</v>
      </c>
      <c r="B783">
        <v>3</v>
      </c>
      <c r="C783">
        <v>300</v>
      </c>
      <c r="D783" s="2">
        <f t="shared" si="10"/>
        <v>900</v>
      </c>
      <c r="E783" t="s">
        <v>7</v>
      </c>
      <c r="G783" s="1">
        <v>45686</v>
      </c>
    </row>
    <row r="784" spans="1:7" x14ac:dyDescent="0.3">
      <c r="A784" t="s">
        <v>165</v>
      </c>
      <c r="B784">
        <v>2</v>
      </c>
      <c r="C784">
        <v>200</v>
      </c>
      <c r="D784" s="2">
        <f t="shared" si="10"/>
        <v>400</v>
      </c>
      <c r="E784" t="s">
        <v>7</v>
      </c>
      <c r="G784" s="1">
        <v>45686</v>
      </c>
    </row>
    <row r="785" spans="1:7" x14ac:dyDescent="0.3">
      <c r="A785" t="s">
        <v>212</v>
      </c>
      <c r="B785">
        <v>1</v>
      </c>
      <c r="C785">
        <v>150</v>
      </c>
      <c r="D785" s="2">
        <f t="shared" si="10"/>
        <v>150</v>
      </c>
      <c r="E785" t="s">
        <v>7</v>
      </c>
      <c r="G785" s="1">
        <v>45686</v>
      </c>
    </row>
    <row r="786" spans="1:7" x14ac:dyDescent="0.3">
      <c r="A786" t="s">
        <v>44</v>
      </c>
      <c r="B786">
        <v>1</v>
      </c>
      <c r="C786">
        <v>100</v>
      </c>
      <c r="D786" s="2">
        <f t="shared" si="10"/>
        <v>100</v>
      </c>
      <c r="E786" t="s">
        <v>7</v>
      </c>
      <c r="G786" s="1">
        <v>45689</v>
      </c>
    </row>
    <row r="787" spans="1:7" x14ac:dyDescent="0.3">
      <c r="A787" t="s">
        <v>212</v>
      </c>
      <c r="B787">
        <v>3</v>
      </c>
      <c r="C787">
        <v>200</v>
      </c>
      <c r="D787" s="2">
        <f t="shared" si="10"/>
        <v>600</v>
      </c>
      <c r="E787" t="s">
        <v>7</v>
      </c>
      <c r="G787" s="1">
        <v>45689</v>
      </c>
    </row>
    <row r="788" spans="1:7" x14ac:dyDescent="0.3">
      <c r="A788" t="s">
        <v>188</v>
      </c>
      <c r="B788">
        <v>2</v>
      </c>
      <c r="C788">
        <v>90</v>
      </c>
      <c r="D788" s="2">
        <f t="shared" si="10"/>
        <v>180</v>
      </c>
      <c r="E788" t="s">
        <v>7</v>
      </c>
      <c r="G788" s="1">
        <v>45690</v>
      </c>
    </row>
    <row r="789" spans="1:7" x14ac:dyDescent="0.3">
      <c r="A789" t="s">
        <v>167</v>
      </c>
      <c r="B789">
        <v>1</v>
      </c>
      <c r="C789">
        <v>200</v>
      </c>
      <c r="D789" s="2">
        <f t="shared" si="10"/>
        <v>200</v>
      </c>
      <c r="E789" t="s">
        <v>7</v>
      </c>
      <c r="G789" s="1">
        <v>45690</v>
      </c>
    </row>
    <row r="790" spans="1:7" x14ac:dyDescent="0.3">
      <c r="A790" t="s">
        <v>212</v>
      </c>
      <c r="B790">
        <v>0.5</v>
      </c>
      <c r="C790">
        <v>200</v>
      </c>
      <c r="D790" s="2">
        <f t="shared" si="10"/>
        <v>100</v>
      </c>
      <c r="E790" t="s">
        <v>7</v>
      </c>
      <c r="G790" s="1">
        <v>45690</v>
      </c>
    </row>
    <row r="791" spans="1:7" x14ac:dyDescent="0.3">
      <c r="A791" t="s">
        <v>179</v>
      </c>
      <c r="B791">
        <v>0.15</v>
      </c>
      <c r="C791">
        <v>1140</v>
      </c>
      <c r="D791" s="2">
        <f t="shared" si="10"/>
        <v>171</v>
      </c>
      <c r="E791" t="s">
        <v>7</v>
      </c>
      <c r="G791" s="1">
        <v>45690</v>
      </c>
    </row>
    <row r="792" spans="1:7" x14ac:dyDescent="0.3">
      <c r="A792" t="s">
        <v>212</v>
      </c>
      <c r="B792">
        <v>1.25</v>
      </c>
      <c r="C792">
        <v>200</v>
      </c>
      <c r="D792" s="2">
        <f t="shared" si="10"/>
        <v>250</v>
      </c>
      <c r="E792" t="s">
        <v>7</v>
      </c>
      <c r="G792" s="1">
        <v>45690</v>
      </c>
    </row>
    <row r="793" spans="1:7" x14ac:dyDescent="0.3">
      <c r="A793" t="s">
        <v>170</v>
      </c>
      <c r="B793">
        <v>1</v>
      </c>
      <c r="C793">
        <v>350</v>
      </c>
      <c r="D793" s="2">
        <f t="shared" si="10"/>
        <v>350</v>
      </c>
      <c r="E793" t="s">
        <v>7</v>
      </c>
      <c r="G793" s="1">
        <v>45690</v>
      </c>
    </row>
    <row r="794" spans="1:7" x14ac:dyDescent="0.3">
      <c r="A794" t="s">
        <v>64</v>
      </c>
      <c r="B794">
        <v>1</v>
      </c>
      <c r="C794">
        <v>300</v>
      </c>
      <c r="D794" s="2">
        <f t="shared" si="10"/>
        <v>300</v>
      </c>
      <c r="E794" t="s">
        <v>7</v>
      </c>
      <c r="G794" s="1">
        <v>45690</v>
      </c>
    </row>
    <row r="795" spans="1:7" x14ac:dyDescent="0.3">
      <c r="A795" t="s">
        <v>165</v>
      </c>
      <c r="B795">
        <v>1</v>
      </c>
      <c r="C795">
        <v>200</v>
      </c>
      <c r="D795" s="2">
        <f t="shared" si="10"/>
        <v>200</v>
      </c>
      <c r="E795" t="s">
        <v>7</v>
      </c>
      <c r="G795" s="1">
        <v>45690</v>
      </c>
    </row>
    <row r="796" spans="1:7" x14ac:dyDescent="0.3">
      <c r="A796" t="s">
        <v>176</v>
      </c>
      <c r="B796">
        <v>10</v>
      </c>
      <c r="C796">
        <v>800</v>
      </c>
      <c r="D796" s="2">
        <f t="shared" si="10"/>
        <v>8000</v>
      </c>
      <c r="E796" t="s">
        <v>153</v>
      </c>
      <c r="G796" s="1">
        <v>45691</v>
      </c>
    </row>
    <row r="797" spans="1:7" x14ac:dyDescent="0.3">
      <c r="A797" t="s">
        <v>212</v>
      </c>
      <c r="B797">
        <v>1</v>
      </c>
      <c r="C797">
        <v>3500</v>
      </c>
      <c r="D797" s="2">
        <f t="shared" si="10"/>
        <v>3500</v>
      </c>
      <c r="E797" t="s">
        <v>153</v>
      </c>
      <c r="G797" s="1">
        <v>45691</v>
      </c>
    </row>
    <row r="798" spans="1:7" x14ac:dyDescent="0.3">
      <c r="A798" t="s">
        <v>165</v>
      </c>
      <c r="B798">
        <v>20</v>
      </c>
      <c r="C798">
        <v>200</v>
      </c>
      <c r="D798" s="2">
        <f t="shared" si="10"/>
        <v>4000</v>
      </c>
      <c r="E798" t="s">
        <v>153</v>
      </c>
      <c r="G798" s="1">
        <v>45691</v>
      </c>
    </row>
    <row r="799" spans="1:7" x14ac:dyDescent="0.3">
      <c r="A799" t="s">
        <v>213</v>
      </c>
      <c r="B799">
        <v>6</v>
      </c>
      <c r="C799">
        <v>1450</v>
      </c>
      <c r="D799" s="2">
        <f t="shared" si="10"/>
        <v>8700</v>
      </c>
      <c r="E799" t="s">
        <v>153</v>
      </c>
      <c r="G799" s="1">
        <v>45691</v>
      </c>
    </row>
    <row r="800" spans="1:7" x14ac:dyDescent="0.3">
      <c r="A800" t="s">
        <v>185</v>
      </c>
      <c r="B800">
        <v>6</v>
      </c>
      <c r="C800">
        <v>1250</v>
      </c>
      <c r="D800" s="2">
        <f t="shared" si="10"/>
        <v>7500</v>
      </c>
      <c r="E800" t="s">
        <v>153</v>
      </c>
      <c r="G800" s="1">
        <v>45691</v>
      </c>
    </row>
    <row r="801" spans="1:7" x14ac:dyDescent="0.3">
      <c r="A801" t="s">
        <v>194</v>
      </c>
      <c r="B801">
        <v>6</v>
      </c>
      <c r="C801">
        <v>500</v>
      </c>
      <c r="D801" s="2">
        <f t="shared" si="10"/>
        <v>3000</v>
      </c>
      <c r="E801" t="s">
        <v>153</v>
      </c>
      <c r="G801" s="1">
        <v>45691</v>
      </c>
    </row>
    <row r="802" spans="1:7" x14ac:dyDescent="0.3">
      <c r="A802" t="s">
        <v>165</v>
      </c>
      <c r="B802">
        <v>1</v>
      </c>
      <c r="C802">
        <v>200</v>
      </c>
      <c r="D802" s="2">
        <f t="shared" si="10"/>
        <v>200</v>
      </c>
      <c r="E802" t="s">
        <v>7</v>
      </c>
      <c r="G802" s="1">
        <v>45691</v>
      </c>
    </row>
    <row r="803" spans="1:7" x14ac:dyDescent="0.3">
      <c r="A803" t="s">
        <v>179</v>
      </c>
      <c r="B803">
        <v>1</v>
      </c>
      <c r="C803">
        <v>300</v>
      </c>
      <c r="D803" s="2">
        <f t="shared" si="10"/>
        <v>300</v>
      </c>
      <c r="E803" t="s">
        <v>7</v>
      </c>
      <c r="G803" s="1">
        <v>45691</v>
      </c>
    </row>
    <row r="804" spans="1:7" x14ac:dyDescent="0.3">
      <c r="A804" t="s">
        <v>212</v>
      </c>
      <c r="B804">
        <v>0.25</v>
      </c>
      <c r="C804">
        <v>200</v>
      </c>
      <c r="D804" s="2">
        <f t="shared" si="10"/>
        <v>50</v>
      </c>
      <c r="E804" t="s">
        <v>7</v>
      </c>
      <c r="G804" s="1">
        <v>45691</v>
      </c>
    </row>
    <row r="805" spans="1:7" x14ac:dyDescent="0.3">
      <c r="A805" t="s">
        <v>165</v>
      </c>
      <c r="B805">
        <v>0.3</v>
      </c>
      <c r="C805">
        <v>200</v>
      </c>
      <c r="D805" s="2">
        <f t="shared" si="10"/>
        <v>60</v>
      </c>
      <c r="E805" t="s">
        <v>7</v>
      </c>
      <c r="G805" s="1">
        <v>45691</v>
      </c>
    </row>
    <row r="806" spans="1:7" x14ac:dyDescent="0.3">
      <c r="A806" t="s">
        <v>64</v>
      </c>
      <c r="B806">
        <v>1</v>
      </c>
      <c r="C806">
        <v>300</v>
      </c>
      <c r="D806" s="2">
        <f t="shared" si="10"/>
        <v>300</v>
      </c>
      <c r="E806" t="s">
        <v>7</v>
      </c>
      <c r="G806" s="1">
        <v>45691</v>
      </c>
    </row>
    <row r="807" spans="1:7" x14ac:dyDescent="0.3">
      <c r="A807" t="s">
        <v>73</v>
      </c>
      <c r="B807">
        <v>1</v>
      </c>
      <c r="C807">
        <v>300</v>
      </c>
      <c r="D807" s="2">
        <f t="shared" si="10"/>
        <v>300</v>
      </c>
      <c r="E807" t="s">
        <v>7</v>
      </c>
      <c r="G807" s="1">
        <v>45692</v>
      </c>
    </row>
    <row r="808" spans="1:7" x14ac:dyDescent="0.3">
      <c r="A808" t="s">
        <v>165</v>
      </c>
      <c r="B808">
        <v>1</v>
      </c>
      <c r="C808">
        <v>200</v>
      </c>
      <c r="D808" s="2">
        <f t="shared" si="10"/>
        <v>200</v>
      </c>
      <c r="E808" t="s">
        <v>7</v>
      </c>
      <c r="G808" s="1">
        <v>45692</v>
      </c>
    </row>
    <row r="809" spans="1:7" x14ac:dyDescent="0.3">
      <c r="A809" t="s">
        <v>165</v>
      </c>
      <c r="B809">
        <v>0.7</v>
      </c>
      <c r="C809">
        <v>200</v>
      </c>
      <c r="D809" s="2">
        <f t="shared" si="10"/>
        <v>140</v>
      </c>
      <c r="E809" t="s">
        <v>7</v>
      </c>
      <c r="G809" s="1">
        <v>45693</v>
      </c>
    </row>
    <row r="810" spans="1:7" x14ac:dyDescent="0.3">
      <c r="A810" t="s">
        <v>97</v>
      </c>
      <c r="B810">
        <v>1</v>
      </c>
      <c r="C810">
        <v>200</v>
      </c>
      <c r="D810" s="2">
        <f t="shared" si="10"/>
        <v>200</v>
      </c>
      <c r="E810" t="s">
        <v>7</v>
      </c>
      <c r="G810" s="1">
        <v>45693</v>
      </c>
    </row>
    <row r="811" spans="1:7" x14ac:dyDescent="0.3">
      <c r="A811" t="s">
        <v>211</v>
      </c>
      <c r="B811">
        <v>1</v>
      </c>
      <c r="C811">
        <v>100</v>
      </c>
      <c r="D811" s="2">
        <f t="shared" si="10"/>
        <v>100</v>
      </c>
      <c r="E811" t="s">
        <v>7</v>
      </c>
      <c r="G811" s="1">
        <v>45693</v>
      </c>
    </row>
    <row r="812" spans="1:7" x14ac:dyDescent="0.3">
      <c r="A812" t="s">
        <v>162</v>
      </c>
      <c r="B812">
        <v>3</v>
      </c>
      <c r="C812">
        <v>15</v>
      </c>
      <c r="D812" s="2">
        <f t="shared" si="10"/>
        <v>45</v>
      </c>
      <c r="E812" t="s">
        <v>7</v>
      </c>
      <c r="G812" s="1">
        <v>45693</v>
      </c>
    </row>
    <row r="813" spans="1:7" x14ac:dyDescent="0.3">
      <c r="A813" t="s">
        <v>64</v>
      </c>
      <c r="B813">
        <v>1</v>
      </c>
      <c r="C813">
        <v>300</v>
      </c>
      <c r="D813" s="2">
        <f t="shared" si="10"/>
        <v>300</v>
      </c>
      <c r="E813" t="s">
        <v>7</v>
      </c>
      <c r="G813" s="1">
        <v>45693</v>
      </c>
    </row>
    <row r="814" spans="1:7" x14ac:dyDescent="0.3">
      <c r="A814" t="s">
        <v>212</v>
      </c>
      <c r="B814">
        <v>1.7</v>
      </c>
      <c r="C814">
        <v>200</v>
      </c>
      <c r="D814" s="2">
        <f t="shared" si="10"/>
        <v>340</v>
      </c>
      <c r="E814" t="s">
        <v>7</v>
      </c>
      <c r="G814" s="1">
        <v>45696</v>
      </c>
    </row>
    <row r="815" spans="1:7" x14ac:dyDescent="0.3">
      <c r="A815" t="s">
        <v>165</v>
      </c>
      <c r="B815">
        <v>0.5</v>
      </c>
      <c r="C815">
        <v>160</v>
      </c>
      <c r="D815" s="2">
        <f t="shared" si="10"/>
        <v>80</v>
      </c>
      <c r="E815" t="s">
        <v>7</v>
      </c>
      <c r="G815" s="1">
        <v>45696</v>
      </c>
    </row>
    <row r="816" spans="1:7" x14ac:dyDescent="0.3">
      <c r="A816" t="s">
        <v>179</v>
      </c>
      <c r="B816">
        <v>0.05</v>
      </c>
      <c r="C816">
        <v>1000</v>
      </c>
      <c r="D816" s="2">
        <f t="shared" si="10"/>
        <v>50</v>
      </c>
      <c r="E816" t="s">
        <v>7</v>
      </c>
      <c r="G816" s="1">
        <v>45696</v>
      </c>
    </row>
    <row r="817" spans="1:7" x14ac:dyDescent="0.3">
      <c r="A817" t="s">
        <v>212</v>
      </c>
      <c r="B817">
        <v>2</v>
      </c>
      <c r="C817">
        <v>1800</v>
      </c>
      <c r="D817" s="2">
        <f t="shared" si="10"/>
        <v>3600</v>
      </c>
      <c r="E817" t="s">
        <v>214</v>
      </c>
      <c r="G817" s="1">
        <v>45696</v>
      </c>
    </row>
    <row r="818" spans="1:7" x14ac:dyDescent="0.3">
      <c r="A818" t="s">
        <v>203</v>
      </c>
      <c r="B818">
        <v>1</v>
      </c>
      <c r="C818">
        <v>500</v>
      </c>
      <c r="D818" s="2">
        <f t="shared" si="10"/>
        <v>500</v>
      </c>
      <c r="E818" t="s">
        <v>113</v>
      </c>
      <c r="G818" s="1">
        <v>45697</v>
      </c>
    </row>
    <row r="819" spans="1:7" x14ac:dyDescent="0.3">
      <c r="A819" t="s">
        <v>73</v>
      </c>
      <c r="B819">
        <v>1</v>
      </c>
      <c r="C819">
        <v>300</v>
      </c>
      <c r="D819" s="2">
        <f t="shared" si="10"/>
        <v>300</v>
      </c>
      <c r="E819" t="s">
        <v>113</v>
      </c>
      <c r="G819" s="1">
        <v>45697</v>
      </c>
    </row>
    <row r="820" spans="1:7" x14ac:dyDescent="0.3">
      <c r="A820" t="s">
        <v>162</v>
      </c>
      <c r="B820">
        <v>1</v>
      </c>
      <c r="C820">
        <v>15</v>
      </c>
      <c r="D820" s="2">
        <f t="shared" si="10"/>
        <v>15</v>
      </c>
      <c r="E820" t="s">
        <v>7</v>
      </c>
      <c r="G820" s="1">
        <v>45697</v>
      </c>
    </row>
    <row r="821" spans="1:7" x14ac:dyDescent="0.3">
      <c r="A821" t="s">
        <v>114</v>
      </c>
      <c r="B821">
        <v>2</v>
      </c>
      <c r="C821">
        <v>25</v>
      </c>
      <c r="D821" s="2">
        <f t="shared" si="10"/>
        <v>50</v>
      </c>
      <c r="E821" t="s">
        <v>113</v>
      </c>
      <c r="G821" s="1">
        <v>45699</v>
      </c>
    </row>
    <row r="822" spans="1:7" x14ac:dyDescent="0.3">
      <c r="A822" t="s">
        <v>213</v>
      </c>
      <c r="B822">
        <v>5</v>
      </c>
      <c r="C822">
        <v>1700</v>
      </c>
      <c r="D822" s="2">
        <f t="shared" si="10"/>
        <v>8500</v>
      </c>
      <c r="E822" t="s">
        <v>113</v>
      </c>
      <c r="G822" s="1">
        <v>45699</v>
      </c>
    </row>
    <row r="823" spans="1:7" x14ac:dyDescent="0.3">
      <c r="A823" t="s">
        <v>185</v>
      </c>
      <c r="B823">
        <v>5</v>
      </c>
      <c r="C823">
        <v>1000</v>
      </c>
      <c r="D823" s="2">
        <f t="shared" si="10"/>
        <v>5000</v>
      </c>
      <c r="E823" t="s">
        <v>113</v>
      </c>
      <c r="G823" s="1">
        <v>45699</v>
      </c>
    </row>
    <row r="824" spans="1:7" x14ac:dyDescent="0.3">
      <c r="A824" t="s">
        <v>194</v>
      </c>
      <c r="B824">
        <v>5</v>
      </c>
      <c r="C824">
        <v>1500</v>
      </c>
      <c r="D824" s="2">
        <f t="shared" si="10"/>
        <v>7500</v>
      </c>
      <c r="E824" t="s">
        <v>113</v>
      </c>
      <c r="G824" s="1">
        <v>45699</v>
      </c>
    </row>
    <row r="825" spans="1:7" x14ac:dyDescent="0.3">
      <c r="A825" t="s">
        <v>221</v>
      </c>
      <c r="B825">
        <v>5</v>
      </c>
      <c r="C825">
        <v>1600</v>
      </c>
      <c r="D825" s="2">
        <f t="shared" si="10"/>
        <v>8000</v>
      </c>
      <c r="E825" t="s">
        <v>113</v>
      </c>
      <c r="G825" s="1">
        <v>45699</v>
      </c>
    </row>
    <row r="826" spans="1:7" x14ac:dyDescent="0.3">
      <c r="A826" t="s">
        <v>176</v>
      </c>
      <c r="B826">
        <v>10</v>
      </c>
      <c r="C826">
        <v>700</v>
      </c>
      <c r="D826" s="2">
        <f t="shared" si="10"/>
        <v>7000</v>
      </c>
      <c r="E826" t="s">
        <v>113</v>
      </c>
      <c r="G826" s="1">
        <v>45699</v>
      </c>
    </row>
    <row r="827" spans="1:7" x14ac:dyDescent="0.3">
      <c r="A827" t="s">
        <v>178</v>
      </c>
      <c r="B827">
        <v>6</v>
      </c>
      <c r="C827">
        <v>220</v>
      </c>
      <c r="D827" s="2">
        <f t="shared" si="10"/>
        <v>1320</v>
      </c>
      <c r="E827" t="s">
        <v>113</v>
      </c>
      <c r="G827" s="1">
        <v>45699</v>
      </c>
    </row>
    <row r="828" spans="1:7" x14ac:dyDescent="0.3">
      <c r="A828" t="s">
        <v>67</v>
      </c>
      <c r="B828">
        <v>5</v>
      </c>
      <c r="C828">
        <v>750</v>
      </c>
      <c r="D828" s="2">
        <f t="shared" si="10"/>
        <v>3750</v>
      </c>
      <c r="E828" t="s">
        <v>113</v>
      </c>
      <c r="G828" s="1">
        <v>45699</v>
      </c>
    </row>
    <row r="829" spans="1:7" x14ac:dyDescent="0.3">
      <c r="A829" t="s">
        <v>182</v>
      </c>
      <c r="B829">
        <v>3</v>
      </c>
      <c r="C829">
        <v>350</v>
      </c>
      <c r="D829" s="2">
        <f t="shared" si="10"/>
        <v>1050</v>
      </c>
      <c r="E829" t="s">
        <v>113</v>
      </c>
      <c r="G829" s="1">
        <v>45699</v>
      </c>
    </row>
    <row r="830" spans="1:7" x14ac:dyDescent="0.3">
      <c r="A830" t="s">
        <v>115</v>
      </c>
      <c r="B830">
        <v>50</v>
      </c>
      <c r="C830">
        <v>1000</v>
      </c>
      <c r="D830" s="2">
        <f t="shared" si="10"/>
        <v>50000</v>
      </c>
      <c r="E830" t="s">
        <v>113</v>
      </c>
      <c r="G830" s="1">
        <v>45699</v>
      </c>
    </row>
    <row r="831" spans="1:7" x14ac:dyDescent="0.3">
      <c r="A831" t="s">
        <v>173</v>
      </c>
      <c r="B831">
        <v>5</v>
      </c>
      <c r="C831">
        <v>250</v>
      </c>
      <c r="D831" s="2">
        <f t="shared" si="10"/>
        <v>1250</v>
      </c>
      <c r="E831" t="s">
        <v>113</v>
      </c>
      <c r="G831" s="1">
        <v>45699</v>
      </c>
    </row>
    <row r="832" spans="1:7" x14ac:dyDescent="0.3">
      <c r="A832" t="s">
        <v>169</v>
      </c>
      <c r="B832">
        <v>5</v>
      </c>
      <c r="C832">
        <v>100</v>
      </c>
      <c r="D832" s="2">
        <f t="shared" si="10"/>
        <v>500</v>
      </c>
      <c r="E832" t="s">
        <v>113</v>
      </c>
      <c r="G832" s="1">
        <v>45699</v>
      </c>
    </row>
    <row r="833" spans="1:9" x14ac:dyDescent="0.3">
      <c r="A833" t="s">
        <v>165</v>
      </c>
      <c r="B833">
        <v>5</v>
      </c>
      <c r="C833">
        <v>350</v>
      </c>
      <c r="D833" s="2">
        <f t="shared" si="10"/>
        <v>1750</v>
      </c>
      <c r="E833" t="s">
        <v>113</v>
      </c>
      <c r="G833" s="1">
        <v>45699</v>
      </c>
    </row>
    <row r="834" spans="1:9" x14ac:dyDescent="0.3">
      <c r="A834" t="s">
        <v>161</v>
      </c>
      <c r="B834">
        <v>5</v>
      </c>
      <c r="C834">
        <v>350</v>
      </c>
      <c r="D834" s="2">
        <f t="shared" si="10"/>
        <v>1750</v>
      </c>
      <c r="E834" t="s">
        <v>113</v>
      </c>
      <c r="G834" s="1">
        <v>45699</v>
      </c>
      <c r="I834">
        <f>SUBTOTAL(9,B672:B1444)</f>
        <v>3825.5500000000006</v>
      </c>
    </row>
    <row r="835" spans="1:9" x14ac:dyDescent="0.3">
      <c r="A835" t="s">
        <v>160</v>
      </c>
      <c r="B835">
        <v>5</v>
      </c>
      <c r="C835">
        <v>350</v>
      </c>
      <c r="D835" s="2">
        <f t="shared" si="10"/>
        <v>1750</v>
      </c>
      <c r="E835" t="s">
        <v>113</v>
      </c>
      <c r="G835" s="1">
        <v>45699</v>
      </c>
    </row>
    <row r="836" spans="1:9" x14ac:dyDescent="0.3">
      <c r="A836" t="s">
        <v>105</v>
      </c>
      <c r="B836">
        <v>5</v>
      </c>
      <c r="C836">
        <v>350</v>
      </c>
      <c r="D836" s="2">
        <f t="shared" si="10"/>
        <v>1750</v>
      </c>
      <c r="E836" t="s">
        <v>113</v>
      </c>
      <c r="G836" s="1">
        <v>45699</v>
      </c>
    </row>
    <row r="837" spans="1:9" x14ac:dyDescent="0.3">
      <c r="A837" t="s">
        <v>199</v>
      </c>
      <c r="B837">
        <v>3</v>
      </c>
      <c r="C837">
        <v>300</v>
      </c>
      <c r="D837" s="2">
        <f t="shared" si="10"/>
        <v>900</v>
      </c>
      <c r="E837" t="s">
        <v>113</v>
      </c>
      <c r="G837" s="1">
        <v>45699</v>
      </c>
    </row>
    <row r="838" spans="1:9" x14ac:dyDescent="0.3">
      <c r="A838" t="s">
        <v>197</v>
      </c>
      <c r="B838">
        <v>3</v>
      </c>
      <c r="C838">
        <v>300</v>
      </c>
      <c r="D838" s="2">
        <f t="shared" si="10"/>
        <v>900</v>
      </c>
      <c r="E838" t="s">
        <v>113</v>
      </c>
      <c r="G838" s="1">
        <v>45699</v>
      </c>
    </row>
    <row r="839" spans="1:9" x14ac:dyDescent="0.3">
      <c r="A839" t="s">
        <v>179</v>
      </c>
      <c r="B839">
        <v>3</v>
      </c>
      <c r="C839">
        <v>400</v>
      </c>
      <c r="D839" s="2">
        <f t="shared" si="10"/>
        <v>1200</v>
      </c>
      <c r="E839" t="s">
        <v>113</v>
      </c>
      <c r="G839" s="1">
        <v>45699</v>
      </c>
    </row>
    <row r="840" spans="1:9" x14ac:dyDescent="0.3">
      <c r="A840" t="s">
        <v>65</v>
      </c>
      <c r="B840">
        <v>3</v>
      </c>
      <c r="C840">
        <v>400</v>
      </c>
      <c r="D840" s="2">
        <f t="shared" si="10"/>
        <v>1200</v>
      </c>
      <c r="E840" t="s">
        <v>113</v>
      </c>
      <c r="G840" s="1">
        <v>45699</v>
      </c>
    </row>
    <row r="841" spans="1:9" x14ac:dyDescent="0.3">
      <c r="A841" t="s">
        <v>196</v>
      </c>
      <c r="B841">
        <v>3</v>
      </c>
      <c r="C841">
        <v>300</v>
      </c>
      <c r="D841" s="2">
        <f t="shared" si="10"/>
        <v>900</v>
      </c>
      <c r="E841" t="s">
        <v>113</v>
      </c>
      <c r="G841" s="1">
        <v>45699</v>
      </c>
    </row>
    <row r="842" spans="1:9" x14ac:dyDescent="0.3">
      <c r="A842" t="s">
        <v>187</v>
      </c>
      <c r="B842">
        <v>3</v>
      </c>
      <c r="C842">
        <v>300</v>
      </c>
      <c r="D842" s="2">
        <f t="shared" si="10"/>
        <v>900</v>
      </c>
      <c r="E842" t="s">
        <v>113</v>
      </c>
      <c r="G842" s="1">
        <v>45699</v>
      </c>
    </row>
    <row r="843" spans="1:9" x14ac:dyDescent="0.3">
      <c r="A843" t="s">
        <v>70</v>
      </c>
      <c r="B843">
        <v>3</v>
      </c>
      <c r="C843">
        <v>350</v>
      </c>
      <c r="D843" s="2">
        <f t="shared" si="10"/>
        <v>1050</v>
      </c>
      <c r="E843" t="s">
        <v>113</v>
      </c>
      <c r="G843" s="1">
        <v>45699</v>
      </c>
    </row>
    <row r="844" spans="1:9" x14ac:dyDescent="0.3">
      <c r="A844" t="s">
        <v>199</v>
      </c>
      <c r="B844">
        <v>3</v>
      </c>
      <c r="C844">
        <v>300</v>
      </c>
      <c r="D844" s="2">
        <f t="shared" si="10"/>
        <v>900</v>
      </c>
      <c r="E844" t="s">
        <v>7</v>
      </c>
      <c r="G844" s="1">
        <v>45699</v>
      </c>
    </row>
    <row r="845" spans="1:9" x14ac:dyDescent="0.3">
      <c r="A845" t="s">
        <v>176</v>
      </c>
      <c r="B845">
        <v>1</v>
      </c>
      <c r="C845">
        <v>450</v>
      </c>
      <c r="D845" s="2">
        <f t="shared" si="10"/>
        <v>450</v>
      </c>
      <c r="E845" t="s">
        <v>7</v>
      </c>
      <c r="G845" s="1">
        <v>45699</v>
      </c>
    </row>
    <row r="846" spans="1:9" x14ac:dyDescent="0.3">
      <c r="A846" t="s">
        <v>179</v>
      </c>
      <c r="B846">
        <v>0.2</v>
      </c>
      <c r="C846">
        <v>1000</v>
      </c>
      <c r="D846" s="2">
        <f t="shared" si="10"/>
        <v>200</v>
      </c>
      <c r="E846" t="s">
        <v>7</v>
      </c>
      <c r="G846" s="1">
        <v>45701</v>
      </c>
    </row>
    <row r="847" spans="1:9" x14ac:dyDescent="0.3">
      <c r="A847" t="s">
        <v>165</v>
      </c>
      <c r="B847">
        <v>1</v>
      </c>
      <c r="C847">
        <v>150</v>
      </c>
      <c r="D847" s="2">
        <f t="shared" si="10"/>
        <v>150</v>
      </c>
      <c r="E847" t="s">
        <v>7</v>
      </c>
      <c r="G847" s="1">
        <v>45701</v>
      </c>
    </row>
    <row r="848" spans="1:9" x14ac:dyDescent="0.3">
      <c r="A848" t="s">
        <v>212</v>
      </c>
      <c r="B848">
        <v>0.5</v>
      </c>
      <c r="C848">
        <v>180</v>
      </c>
      <c r="D848" s="2">
        <f t="shared" si="10"/>
        <v>90</v>
      </c>
      <c r="E848" t="s">
        <v>7</v>
      </c>
      <c r="G848" s="1">
        <v>45701</v>
      </c>
    </row>
    <row r="849" spans="1:7" x14ac:dyDescent="0.3">
      <c r="A849" t="s">
        <v>117</v>
      </c>
      <c r="B849">
        <v>4</v>
      </c>
      <c r="C849">
        <v>60</v>
      </c>
      <c r="D849" s="2">
        <f t="shared" si="10"/>
        <v>240</v>
      </c>
      <c r="E849" t="s">
        <v>7</v>
      </c>
      <c r="G849" s="1">
        <v>45701</v>
      </c>
    </row>
    <row r="850" spans="1:7" x14ac:dyDescent="0.3">
      <c r="A850" t="s">
        <v>161</v>
      </c>
      <c r="B850">
        <v>2</v>
      </c>
      <c r="C850">
        <v>175</v>
      </c>
      <c r="D850" s="2">
        <f t="shared" si="10"/>
        <v>350</v>
      </c>
      <c r="E850" t="s">
        <v>7</v>
      </c>
      <c r="G850" s="1">
        <v>45703</v>
      </c>
    </row>
    <row r="851" spans="1:7" x14ac:dyDescent="0.3">
      <c r="A851" t="s">
        <v>117</v>
      </c>
      <c r="B851">
        <v>4</v>
      </c>
      <c r="C851">
        <v>70</v>
      </c>
      <c r="D851" s="2">
        <f t="shared" si="10"/>
        <v>280</v>
      </c>
      <c r="E851" t="s">
        <v>7</v>
      </c>
      <c r="G851" s="1">
        <v>45703</v>
      </c>
    </row>
    <row r="852" spans="1:7" x14ac:dyDescent="0.3">
      <c r="A852" t="s">
        <v>189</v>
      </c>
      <c r="B852">
        <v>1</v>
      </c>
      <c r="C852">
        <v>175</v>
      </c>
      <c r="D852" s="2">
        <f t="shared" si="10"/>
        <v>175</v>
      </c>
      <c r="E852" t="s">
        <v>7</v>
      </c>
      <c r="G852" s="1">
        <v>45704</v>
      </c>
    </row>
    <row r="853" spans="1:7" x14ac:dyDescent="0.3">
      <c r="A853" t="s">
        <v>179</v>
      </c>
      <c r="B853">
        <v>0.05</v>
      </c>
      <c r="C853">
        <v>1000</v>
      </c>
      <c r="D853" s="2">
        <f t="shared" si="10"/>
        <v>50</v>
      </c>
      <c r="E853" t="s">
        <v>7</v>
      </c>
      <c r="G853" s="1">
        <v>45704</v>
      </c>
    </row>
    <row r="854" spans="1:7" x14ac:dyDescent="0.3">
      <c r="A854" t="s">
        <v>165</v>
      </c>
      <c r="B854">
        <v>0.1</v>
      </c>
      <c r="C854">
        <v>400</v>
      </c>
      <c r="D854" s="2">
        <f t="shared" si="10"/>
        <v>40</v>
      </c>
      <c r="E854" t="s">
        <v>7</v>
      </c>
      <c r="G854" s="1">
        <v>45704</v>
      </c>
    </row>
    <row r="855" spans="1:7" x14ac:dyDescent="0.3">
      <c r="A855" t="s">
        <v>162</v>
      </c>
      <c r="B855">
        <v>1</v>
      </c>
      <c r="C855">
        <v>15</v>
      </c>
      <c r="D855" s="2">
        <f t="shared" si="10"/>
        <v>15</v>
      </c>
      <c r="E855" t="s">
        <v>7</v>
      </c>
      <c r="G855" s="1">
        <v>45704</v>
      </c>
    </row>
    <row r="856" spans="1:7" x14ac:dyDescent="0.3">
      <c r="A856" t="s">
        <v>117</v>
      </c>
      <c r="B856">
        <v>1</v>
      </c>
      <c r="C856">
        <v>60</v>
      </c>
      <c r="D856" s="2">
        <f t="shared" si="10"/>
        <v>60</v>
      </c>
      <c r="E856" t="s">
        <v>7</v>
      </c>
      <c r="G856" s="1">
        <v>45705</v>
      </c>
    </row>
    <row r="857" spans="1:7" x14ac:dyDescent="0.3">
      <c r="A857" t="s">
        <v>14</v>
      </c>
      <c r="B857">
        <v>1</v>
      </c>
      <c r="C857">
        <v>15</v>
      </c>
      <c r="D857" s="2">
        <f t="shared" si="10"/>
        <v>15</v>
      </c>
      <c r="E857" t="s">
        <v>7</v>
      </c>
      <c r="G857" s="1">
        <v>45705</v>
      </c>
    </row>
    <row r="858" spans="1:7" x14ac:dyDescent="0.3">
      <c r="A858" t="s">
        <v>44</v>
      </c>
      <c r="B858">
        <v>1</v>
      </c>
      <c r="C858">
        <v>80</v>
      </c>
      <c r="D858" s="2">
        <f t="shared" si="10"/>
        <v>80</v>
      </c>
      <c r="E858" t="s">
        <v>7</v>
      </c>
      <c r="G858" s="1">
        <v>45705</v>
      </c>
    </row>
    <row r="859" spans="1:7" x14ac:dyDescent="0.3">
      <c r="A859" t="s">
        <v>114</v>
      </c>
      <c r="B859">
        <v>2</v>
      </c>
      <c r="C859">
        <v>25</v>
      </c>
      <c r="D859" s="2">
        <f t="shared" si="10"/>
        <v>50</v>
      </c>
      <c r="E859" t="s">
        <v>7</v>
      </c>
      <c r="G859" s="1">
        <v>45705</v>
      </c>
    </row>
    <row r="860" spans="1:7" x14ac:dyDescent="0.3">
      <c r="A860" t="s">
        <v>117</v>
      </c>
      <c r="B860">
        <v>1</v>
      </c>
      <c r="C860">
        <v>70</v>
      </c>
      <c r="D860" s="2">
        <f t="shared" si="10"/>
        <v>70</v>
      </c>
      <c r="E860" t="s">
        <v>7</v>
      </c>
      <c r="G860" s="1">
        <v>45705</v>
      </c>
    </row>
    <row r="861" spans="1:7" x14ac:dyDescent="0.3">
      <c r="A861" t="s">
        <v>165</v>
      </c>
      <c r="B861">
        <v>0.1</v>
      </c>
      <c r="C861">
        <v>450</v>
      </c>
      <c r="D861" s="2">
        <f t="shared" si="10"/>
        <v>45</v>
      </c>
      <c r="E861" t="s">
        <v>7</v>
      </c>
      <c r="G861" s="1">
        <v>45706</v>
      </c>
    </row>
    <row r="862" spans="1:7" x14ac:dyDescent="0.3">
      <c r="A862" t="s">
        <v>179</v>
      </c>
      <c r="B862">
        <v>0.05</v>
      </c>
      <c r="C862">
        <v>1000</v>
      </c>
      <c r="D862" s="2">
        <f t="shared" si="10"/>
        <v>50</v>
      </c>
      <c r="E862" t="s">
        <v>7</v>
      </c>
      <c r="G862" s="1">
        <v>45706</v>
      </c>
    </row>
    <row r="863" spans="1:7" x14ac:dyDescent="0.3">
      <c r="A863" t="s">
        <v>173</v>
      </c>
      <c r="B863">
        <v>1</v>
      </c>
      <c r="C863">
        <v>200</v>
      </c>
      <c r="D863" s="2">
        <f t="shared" si="10"/>
        <v>200</v>
      </c>
      <c r="E863" t="s">
        <v>7</v>
      </c>
      <c r="G863" s="1">
        <v>45706</v>
      </c>
    </row>
    <row r="864" spans="1:7" x14ac:dyDescent="0.3">
      <c r="A864" t="s">
        <v>65</v>
      </c>
      <c r="B864">
        <v>0.15</v>
      </c>
      <c r="C864">
        <v>1000</v>
      </c>
      <c r="D864" s="2">
        <f t="shared" si="10"/>
        <v>150</v>
      </c>
      <c r="E864" t="s">
        <v>7</v>
      </c>
      <c r="G864" s="1">
        <v>45706</v>
      </c>
    </row>
    <row r="865" spans="1:9" x14ac:dyDescent="0.3">
      <c r="A865" t="s">
        <v>165</v>
      </c>
      <c r="B865">
        <v>0.3</v>
      </c>
      <c r="C865">
        <v>100</v>
      </c>
      <c r="D865" s="2">
        <f t="shared" si="10"/>
        <v>30</v>
      </c>
      <c r="E865" t="s">
        <v>7</v>
      </c>
      <c r="G865" s="1">
        <v>45706</v>
      </c>
    </row>
    <row r="866" spans="1:9" x14ac:dyDescent="0.3">
      <c r="A866" t="s">
        <v>173</v>
      </c>
      <c r="B866">
        <v>1</v>
      </c>
      <c r="C866">
        <v>150</v>
      </c>
      <c r="D866" s="2">
        <f t="shared" si="10"/>
        <v>150</v>
      </c>
      <c r="E866" t="s">
        <v>7</v>
      </c>
      <c r="G866" s="1">
        <v>45706</v>
      </c>
    </row>
    <row r="867" spans="1:9" x14ac:dyDescent="0.3">
      <c r="A867" t="s">
        <v>189</v>
      </c>
      <c r="B867">
        <v>1</v>
      </c>
      <c r="C867">
        <v>150</v>
      </c>
      <c r="D867" s="2">
        <f t="shared" ref="D867:D930" si="11">B867*C867</f>
        <v>150</v>
      </c>
      <c r="E867" t="s">
        <v>7</v>
      </c>
      <c r="G867" s="1">
        <v>45706</v>
      </c>
    </row>
    <row r="868" spans="1:9" x14ac:dyDescent="0.3">
      <c r="A868" t="s">
        <v>117</v>
      </c>
      <c r="B868">
        <v>3</v>
      </c>
      <c r="C868">
        <v>66.599999999999994</v>
      </c>
      <c r="D868" s="2">
        <f t="shared" si="11"/>
        <v>199.79999999999998</v>
      </c>
      <c r="E868" t="s">
        <v>7</v>
      </c>
      <c r="G868" s="1">
        <v>45706</v>
      </c>
    </row>
    <row r="869" spans="1:9" x14ac:dyDescent="0.3">
      <c r="A869" t="s">
        <v>171</v>
      </c>
      <c r="B869">
        <v>1</v>
      </c>
      <c r="C869">
        <v>150</v>
      </c>
      <c r="D869" s="2">
        <f t="shared" si="11"/>
        <v>150</v>
      </c>
      <c r="E869" t="s">
        <v>7</v>
      </c>
      <c r="G869" s="1">
        <v>45706</v>
      </c>
    </row>
    <row r="870" spans="1:9" x14ac:dyDescent="0.3">
      <c r="A870" t="s">
        <v>212</v>
      </c>
      <c r="B870">
        <v>3.5</v>
      </c>
      <c r="C870">
        <v>157</v>
      </c>
      <c r="D870" s="2">
        <f t="shared" si="11"/>
        <v>549.5</v>
      </c>
      <c r="E870" t="s">
        <v>7</v>
      </c>
      <c r="G870" s="1">
        <v>45707</v>
      </c>
    </row>
    <row r="871" spans="1:9" x14ac:dyDescent="0.3">
      <c r="A871" t="s">
        <v>97</v>
      </c>
      <c r="B871">
        <v>2</v>
      </c>
      <c r="C871">
        <v>250</v>
      </c>
      <c r="D871" s="2">
        <f t="shared" si="11"/>
        <v>500</v>
      </c>
      <c r="E871" t="s">
        <v>7</v>
      </c>
      <c r="G871" s="1">
        <v>45707</v>
      </c>
    </row>
    <row r="872" spans="1:9" x14ac:dyDescent="0.3">
      <c r="A872" t="s">
        <v>189</v>
      </c>
      <c r="B872">
        <v>1</v>
      </c>
      <c r="C872">
        <v>175</v>
      </c>
      <c r="D872" s="2">
        <f t="shared" si="11"/>
        <v>175</v>
      </c>
      <c r="E872" t="s">
        <v>7</v>
      </c>
      <c r="G872" s="1">
        <v>45707</v>
      </c>
    </row>
    <row r="873" spans="1:9" x14ac:dyDescent="0.3">
      <c r="A873" t="s">
        <v>173</v>
      </c>
      <c r="B873">
        <v>1</v>
      </c>
      <c r="C873">
        <v>175</v>
      </c>
      <c r="D873" s="2">
        <f t="shared" si="11"/>
        <v>175</v>
      </c>
      <c r="E873" t="s">
        <v>7</v>
      </c>
      <c r="G873" s="1">
        <v>45707</v>
      </c>
    </row>
    <row r="874" spans="1:9" x14ac:dyDescent="0.3">
      <c r="A874" t="s">
        <v>161</v>
      </c>
      <c r="B874">
        <v>1</v>
      </c>
      <c r="C874">
        <v>150</v>
      </c>
      <c r="D874" s="2">
        <f t="shared" si="11"/>
        <v>150</v>
      </c>
      <c r="E874" t="s">
        <v>7</v>
      </c>
      <c r="G874" s="1">
        <v>45708</v>
      </c>
    </row>
    <row r="875" spans="1:9" x14ac:dyDescent="0.3">
      <c r="A875" t="s">
        <v>212</v>
      </c>
      <c r="B875">
        <v>0.5</v>
      </c>
      <c r="C875">
        <v>200</v>
      </c>
      <c r="D875" s="2">
        <f t="shared" si="11"/>
        <v>100</v>
      </c>
      <c r="E875" t="s">
        <v>7</v>
      </c>
      <c r="G875" s="1">
        <v>45708</v>
      </c>
    </row>
    <row r="876" spans="1:9" x14ac:dyDescent="0.3">
      <c r="A876" t="s">
        <v>202</v>
      </c>
      <c r="B876">
        <v>1</v>
      </c>
      <c r="C876">
        <v>150</v>
      </c>
      <c r="D876" s="2">
        <f t="shared" si="11"/>
        <v>150</v>
      </c>
      <c r="E876" t="s">
        <v>7</v>
      </c>
      <c r="G876" s="1">
        <v>45708</v>
      </c>
    </row>
    <row r="877" spans="1:9" x14ac:dyDescent="0.3">
      <c r="A877" t="s">
        <v>165</v>
      </c>
      <c r="B877">
        <v>0.5</v>
      </c>
      <c r="C877">
        <v>200</v>
      </c>
      <c r="D877" s="2">
        <f t="shared" si="11"/>
        <v>100</v>
      </c>
      <c r="E877" t="s">
        <v>7</v>
      </c>
      <c r="G877" s="1">
        <v>45708</v>
      </c>
    </row>
    <row r="878" spans="1:9" x14ac:dyDescent="0.3">
      <c r="A878" t="s">
        <v>98</v>
      </c>
      <c r="B878">
        <v>1</v>
      </c>
      <c r="C878">
        <v>200</v>
      </c>
      <c r="D878" s="2">
        <f t="shared" si="11"/>
        <v>200</v>
      </c>
      <c r="E878" t="s">
        <v>7</v>
      </c>
      <c r="G878" s="1">
        <v>45710</v>
      </c>
    </row>
    <row r="879" spans="1:9" x14ac:dyDescent="0.3">
      <c r="A879" t="s">
        <v>160</v>
      </c>
      <c r="B879">
        <v>1</v>
      </c>
      <c r="C879">
        <v>180</v>
      </c>
      <c r="D879" s="2">
        <f t="shared" si="11"/>
        <v>180</v>
      </c>
      <c r="E879" t="s">
        <v>7</v>
      </c>
      <c r="G879" s="1">
        <v>45710</v>
      </c>
      <c r="I879">
        <f>SUBTOTAL(9,B835:B1445)</f>
        <v>3366.3500000000013</v>
      </c>
    </row>
    <row r="880" spans="1:9" x14ac:dyDescent="0.3">
      <c r="A880" t="s">
        <v>212</v>
      </c>
      <c r="B880">
        <v>1</v>
      </c>
      <c r="C880">
        <v>170</v>
      </c>
      <c r="D880" s="2">
        <f t="shared" si="11"/>
        <v>170</v>
      </c>
      <c r="E880" t="s">
        <v>7</v>
      </c>
      <c r="G880" s="1">
        <v>45710</v>
      </c>
    </row>
    <row r="881" spans="1:7" x14ac:dyDescent="0.3">
      <c r="A881" t="s">
        <v>97</v>
      </c>
      <c r="B881">
        <v>1</v>
      </c>
      <c r="C881">
        <v>300</v>
      </c>
      <c r="D881" s="2">
        <f t="shared" si="11"/>
        <v>300</v>
      </c>
      <c r="E881" t="s">
        <v>7</v>
      </c>
      <c r="G881" s="1">
        <v>45710</v>
      </c>
    </row>
    <row r="882" spans="1:7" x14ac:dyDescent="0.3">
      <c r="A882" t="s">
        <v>117</v>
      </c>
      <c r="B882">
        <v>1</v>
      </c>
      <c r="C882">
        <v>60</v>
      </c>
      <c r="D882" s="2">
        <f t="shared" si="11"/>
        <v>60</v>
      </c>
      <c r="E882" t="s">
        <v>7</v>
      </c>
      <c r="G882" s="1">
        <v>45710</v>
      </c>
    </row>
    <row r="883" spans="1:7" x14ac:dyDescent="0.3">
      <c r="A883" t="s">
        <v>117</v>
      </c>
      <c r="B883">
        <v>4</v>
      </c>
      <c r="C883">
        <v>60</v>
      </c>
      <c r="D883" s="2">
        <f t="shared" si="11"/>
        <v>240</v>
      </c>
      <c r="E883" t="s">
        <v>7</v>
      </c>
      <c r="G883" s="1">
        <v>45711</v>
      </c>
    </row>
    <row r="884" spans="1:7" x14ac:dyDescent="0.3">
      <c r="A884" t="s">
        <v>201</v>
      </c>
      <c r="B884">
        <v>1</v>
      </c>
      <c r="C884">
        <v>400</v>
      </c>
      <c r="D884" s="2">
        <f t="shared" si="11"/>
        <v>400</v>
      </c>
      <c r="E884" t="s">
        <v>7</v>
      </c>
      <c r="G884" s="1">
        <v>45711</v>
      </c>
    </row>
    <row r="885" spans="1:7" x14ac:dyDescent="0.3">
      <c r="A885" t="s">
        <v>212</v>
      </c>
      <c r="B885">
        <v>0.25</v>
      </c>
      <c r="C885">
        <v>200</v>
      </c>
      <c r="D885" s="2">
        <f t="shared" si="11"/>
        <v>50</v>
      </c>
      <c r="E885" t="s">
        <v>7</v>
      </c>
      <c r="G885" s="1">
        <v>45711</v>
      </c>
    </row>
    <row r="886" spans="1:7" x14ac:dyDescent="0.3">
      <c r="A886" t="s">
        <v>162</v>
      </c>
      <c r="B886">
        <v>2</v>
      </c>
      <c r="C886">
        <v>15</v>
      </c>
      <c r="D886" s="2">
        <f t="shared" si="11"/>
        <v>30</v>
      </c>
      <c r="E886" t="s">
        <v>7</v>
      </c>
      <c r="G886" s="1">
        <v>45711</v>
      </c>
    </row>
    <row r="887" spans="1:7" x14ac:dyDescent="0.3">
      <c r="A887" t="s">
        <v>64</v>
      </c>
      <c r="B887">
        <v>1</v>
      </c>
      <c r="C887">
        <v>300</v>
      </c>
      <c r="D887" s="2">
        <f t="shared" si="11"/>
        <v>300</v>
      </c>
      <c r="E887" t="s">
        <v>7</v>
      </c>
      <c r="G887" s="1">
        <v>45711</v>
      </c>
    </row>
    <row r="888" spans="1:7" x14ac:dyDescent="0.3">
      <c r="A888" t="s">
        <v>212</v>
      </c>
      <c r="B888">
        <v>1</v>
      </c>
      <c r="C888">
        <v>180</v>
      </c>
      <c r="D888" s="2">
        <f t="shared" si="11"/>
        <v>180</v>
      </c>
      <c r="E888" t="s">
        <v>7</v>
      </c>
      <c r="G888" s="1">
        <v>45711</v>
      </c>
    </row>
    <row r="889" spans="1:7" x14ac:dyDescent="0.3">
      <c r="A889" t="s">
        <v>117</v>
      </c>
      <c r="B889">
        <v>6</v>
      </c>
      <c r="C889">
        <v>60</v>
      </c>
      <c r="D889" s="2">
        <f t="shared" si="11"/>
        <v>360</v>
      </c>
      <c r="E889" t="s">
        <v>7</v>
      </c>
      <c r="G889" s="1">
        <v>45713</v>
      </c>
    </row>
    <row r="890" spans="1:7" x14ac:dyDescent="0.3">
      <c r="A890" t="s">
        <v>14</v>
      </c>
      <c r="B890">
        <v>2</v>
      </c>
      <c r="C890">
        <v>15</v>
      </c>
      <c r="D890" s="2">
        <f t="shared" si="11"/>
        <v>30</v>
      </c>
      <c r="E890" t="s">
        <v>7</v>
      </c>
      <c r="G890" s="1">
        <v>45714</v>
      </c>
    </row>
    <row r="891" spans="1:7" x14ac:dyDescent="0.3">
      <c r="A891" t="s">
        <v>162</v>
      </c>
      <c r="B891">
        <v>1</v>
      </c>
      <c r="C891">
        <v>15</v>
      </c>
      <c r="D891" s="2">
        <f t="shared" si="11"/>
        <v>15</v>
      </c>
      <c r="E891" t="s">
        <v>7</v>
      </c>
      <c r="G891" s="1">
        <v>45714</v>
      </c>
    </row>
    <row r="892" spans="1:7" x14ac:dyDescent="0.3">
      <c r="A892" t="s">
        <v>115</v>
      </c>
      <c r="B892">
        <v>20</v>
      </c>
      <c r="C892">
        <v>430</v>
      </c>
      <c r="D892" s="2">
        <f t="shared" si="11"/>
        <v>8600</v>
      </c>
      <c r="E892" t="s">
        <v>119</v>
      </c>
      <c r="G892" s="1">
        <v>45715</v>
      </c>
    </row>
    <row r="893" spans="1:7" x14ac:dyDescent="0.3">
      <c r="A893" t="s">
        <v>194</v>
      </c>
      <c r="B893">
        <v>10</v>
      </c>
      <c r="C893">
        <v>800</v>
      </c>
      <c r="D893" s="2">
        <f t="shared" si="11"/>
        <v>8000</v>
      </c>
      <c r="E893" t="s">
        <v>119</v>
      </c>
      <c r="G893" s="1">
        <v>45715</v>
      </c>
    </row>
    <row r="894" spans="1:7" x14ac:dyDescent="0.3">
      <c r="A894" t="s">
        <v>185</v>
      </c>
      <c r="B894">
        <v>10</v>
      </c>
      <c r="C894">
        <v>600</v>
      </c>
      <c r="D894" s="2">
        <f t="shared" si="11"/>
        <v>6000</v>
      </c>
      <c r="E894" t="s">
        <v>119</v>
      </c>
      <c r="G894" s="1">
        <v>45715</v>
      </c>
    </row>
    <row r="895" spans="1:7" x14ac:dyDescent="0.3">
      <c r="A895" t="s">
        <v>213</v>
      </c>
      <c r="B895">
        <v>10</v>
      </c>
      <c r="C895">
        <v>800</v>
      </c>
      <c r="D895" s="2">
        <f t="shared" si="11"/>
        <v>8000</v>
      </c>
      <c r="E895" t="s">
        <v>119</v>
      </c>
      <c r="G895" s="1">
        <v>45715</v>
      </c>
    </row>
    <row r="896" spans="1:7" x14ac:dyDescent="0.3">
      <c r="A896" t="s">
        <v>221</v>
      </c>
      <c r="B896">
        <v>10</v>
      </c>
      <c r="C896">
        <v>850</v>
      </c>
      <c r="D896" s="2">
        <f t="shared" si="11"/>
        <v>8500</v>
      </c>
      <c r="E896" t="s">
        <v>119</v>
      </c>
      <c r="G896" s="1">
        <v>45715</v>
      </c>
    </row>
    <row r="897" spans="1:7" x14ac:dyDescent="0.3">
      <c r="A897" t="s">
        <v>201</v>
      </c>
      <c r="B897">
        <v>5</v>
      </c>
      <c r="C897">
        <v>600</v>
      </c>
      <c r="D897" s="2">
        <f t="shared" si="11"/>
        <v>3000</v>
      </c>
      <c r="E897" t="s">
        <v>119</v>
      </c>
      <c r="G897" s="1">
        <v>45715</v>
      </c>
    </row>
    <row r="898" spans="1:7" x14ac:dyDescent="0.3">
      <c r="A898" t="s">
        <v>65</v>
      </c>
      <c r="B898">
        <v>5</v>
      </c>
      <c r="C898">
        <v>245</v>
      </c>
      <c r="D898" s="2">
        <f t="shared" si="11"/>
        <v>1225</v>
      </c>
      <c r="E898" t="s">
        <v>119</v>
      </c>
      <c r="G898" s="1">
        <v>45715</v>
      </c>
    </row>
    <row r="899" spans="1:7" x14ac:dyDescent="0.3">
      <c r="A899" t="s">
        <v>179</v>
      </c>
      <c r="B899">
        <v>5</v>
      </c>
      <c r="C899">
        <v>240</v>
      </c>
      <c r="D899" s="2">
        <f t="shared" si="11"/>
        <v>1200</v>
      </c>
      <c r="E899" t="s">
        <v>119</v>
      </c>
      <c r="G899" s="1">
        <v>45715</v>
      </c>
    </row>
    <row r="900" spans="1:7" x14ac:dyDescent="0.3">
      <c r="A900" t="s">
        <v>183</v>
      </c>
      <c r="B900">
        <v>5</v>
      </c>
      <c r="C900">
        <v>520</v>
      </c>
      <c r="D900" s="2">
        <f t="shared" si="11"/>
        <v>2600</v>
      </c>
      <c r="E900" t="s">
        <v>119</v>
      </c>
      <c r="G900" s="1">
        <v>45715</v>
      </c>
    </row>
    <row r="901" spans="1:7" x14ac:dyDescent="0.3">
      <c r="A901" t="s">
        <v>70</v>
      </c>
      <c r="B901">
        <v>10</v>
      </c>
      <c r="C901">
        <v>320</v>
      </c>
      <c r="D901" s="2">
        <f t="shared" si="11"/>
        <v>3200</v>
      </c>
      <c r="E901" t="s">
        <v>119</v>
      </c>
      <c r="G901" s="1">
        <v>45715</v>
      </c>
    </row>
    <row r="902" spans="1:7" x14ac:dyDescent="0.3">
      <c r="A902" t="s">
        <v>192</v>
      </c>
      <c r="B902">
        <v>5</v>
      </c>
      <c r="C902">
        <v>240</v>
      </c>
      <c r="D902" s="2">
        <f t="shared" si="11"/>
        <v>1200</v>
      </c>
      <c r="E902" t="s">
        <v>119</v>
      </c>
      <c r="G902" s="1">
        <v>45715</v>
      </c>
    </row>
    <row r="903" spans="1:7" x14ac:dyDescent="0.3">
      <c r="A903" t="s">
        <v>193</v>
      </c>
      <c r="B903">
        <v>12</v>
      </c>
      <c r="C903">
        <v>225</v>
      </c>
      <c r="D903" s="2">
        <f t="shared" si="11"/>
        <v>2700</v>
      </c>
      <c r="E903" t="s">
        <v>119</v>
      </c>
      <c r="G903" s="1">
        <v>45715</v>
      </c>
    </row>
    <row r="904" spans="1:7" x14ac:dyDescent="0.3">
      <c r="A904" t="s">
        <v>196</v>
      </c>
      <c r="B904">
        <v>12</v>
      </c>
      <c r="C904">
        <v>190</v>
      </c>
      <c r="D904" s="2">
        <f t="shared" si="11"/>
        <v>2280</v>
      </c>
      <c r="E904" t="s">
        <v>119</v>
      </c>
      <c r="G904" s="1">
        <v>45715</v>
      </c>
    </row>
    <row r="905" spans="1:7" x14ac:dyDescent="0.3">
      <c r="A905" t="s">
        <v>200</v>
      </c>
      <c r="B905">
        <v>12</v>
      </c>
      <c r="C905">
        <v>220</v>
      </c>
      <c r="D905" s="2">
        <f t="shared" si="11"/>
        <v>2640</v>
      </c>
      <c r="E905" t="s">
        <v>119</v>
      </c>
      <c r="G905" s="1">
        <v>45715</v>
      </c>
    </row>
    <row r="906" spans="1:7" x14ac:dyDescent="0.3">
      <c r="A906" t="s">
        <v>176</v>
      </c>
      <c r="B906">
        <v>10</v>
      </c>
      <c r="C906">
        <v>550</v>
      </c>
      <c r="D906" s="2">
        <f t="shared" si="11"/>
        <v>5500</v>
      </c>
      <c r="E906" t="s">
        <v>119</v>
      </c>
      <c r="G906" s="1">
        <v>45715</v>
      </c>
    </row>
    <row r="907" spans="1:7" x14ac:dyDescent="0.3">
      <c r="A907" t="s">
        <v>212</v>
      </c>
      <c r="B907">
        <v>5</v>
      </c>
      <c r="C907">
        <v>2700</v>
      </c>
      <c r="D907" s="2">
        <f t="shared" si="11"/>
        <v>13500</v>
      </c>
      <c r="E907" t="s">
        <v>119</v>
      </c>
      <c r="G907" s="1">
        <v>45715</v>
      </c>
    </row>
    <row r="908" spans="1:7" x14ac:dyDescent="0.3">
      <c r="A908" t="s">
        <v>199</v>
      </c>
      <c r="B908">
        <v>12</v>
      </c>
      <c r="C908">
        <v>250</v>
      </c>
      <c r="D908" s="2">
        <f t="shared" si="11"/>
        <v>3000</v>
      </c>
      <c r="E908" t="s">
        <v>119</v>
      </c>
      <c r="G908" s="1">
        <v>45715</v>
      </c>
    </row>
    <row r="909" spans="1:7" x14ac:dyDescent="0.3">
      <c r="A909" t="s">
        <v>165</v>
      </c>
      <c r="B909">
        <v>10</v>
      </c>
      <c r="C909">
        <v>200</v>
      </c>
      <c r="D909" s="2">
        <f t="shared" si="11"/>
        <v>2000</v>
      </c>
      <c r="E909" t="s">
        <v>119</v>
      </c>
      <c r="G909" s="1">
        <v>45715</v>
      </c>
    </row>
    <row r="910" spans="1:7" x14ac:dyDescent="0.3">
      <c r="A910" t="s">
        <v>161</v>
      </c>
      <c r="B910">
        <v>10</v>
      </c>
      <c r="C910">
        <v>230</v>
      </c>
      <c r="D910" s="2">
        <f t="shared" si="11"/>
        <v>2300</v>
      </c>
      <c r="E910" t="s">
        <v>119</v>
      </c>
      <c r="G910" s="1">
        <v>45715</v>
      </c>
    </row>
    <row r="911" spans="1:7" x14ac:dyDescent="0.3">
      <c r="A911" t="s">
        <v>160</v>
      </c>
      <c r="B911">
        <v>10</v>
      </c>
      <c r="C911">
        <v>240</v>
      </c>
      <c r="D911" s="2">
        <f t="shared" si="11"/>
        <v>2400</v>
      </c>
      <c r="E911" t="s">
        <v>119</v>
      </c>
      <c r="G911" s="1">
        <v>45715</v>
      </c>
    </row>
    <row r="912" spans="1:7" x14ac:dyDescent="0.3">
      <c r="A912" t="s">
        <v>105</v>
      </c>
      <c r="B912">
        <v>10</v>
      </c>
      <c r="C912">
        <v>225</v>
      </c>
      <c r="D912" s="2">
        <f t="shared" si="11"/>
        <v>2250</v>
      </c>
      <c r="E912" t="s">
        <v>119</v>
      </c>
      <c r="G912" s="1">
        <v>45715</v>
      </c>
    </row>
    <row r="913" spans="1:7" x14ac:dyDescent="0.3">
      <c r="A913" t="s">
        <v>229</v>
      </c>
      <c r="B913">
        <v>5</v>
      </c>
      <c r="C913">
        <v>235</v>
      </c>
      <c r="D913" s="2">
        <f t="shared" si="11"/>
        <v>1175</v>
      </c>
      <c r="E913" t="s">
        <v>119</v>
      </c>
      <c r="G913" s="1">
        <v>45715</v>
      </c>
    </row>
    <row r="914" spans="1:7" x14ac:dyDescent="0.3">
      <c r="A914" t="s">
        <v>198</v>
      </c>
      <c r="B914">
        <v>5</v>
      </c>
      <c r="C914">
        <v>245</v>
      </c>
      <c r="D914" s="2">
        <f t="shared" si="11"/>
        <v>1225</v>
      </c>
      <c r="E914" t="s">
        <v>119</v>
      </c>
      <c r="G914" s="1">
        <v>45715</v>
      </c>
    </row>
    <row r="915" spans="1:7" x14ac:dyDescent="0.3">
      <c r="A915" t="s">
        <v>121</v>
      </c>
      <c r="B915">
        <v>4</v>
      </c>
      <c r="C915">
        <v>1100</v>
      </c>
      <c r="D915" s="2">
        <f t="shared" si="11"/>
        <v>4400</v>
      </c>
      <c r="E915" t="s">
        <v>119</v>
      </c>
      <c r="G915" s="1">
        <v>45715</v>
      </c>
    </row>
    <row r="916" spans="1:7" x14ac:dyDescent="0.3">
      <c r="A916" t="s">
        <v>73</v>
      </c>
      <c r="B916">
        <v>12</v>
      </c>
      <c r="C916">
        <v>170</v>
      </c>
      <c r="D916" s="2">
        <f t="shared" si="11"/>
        <v>2040</v>
      </c>
      <c r="E916" t="s">
        <v>119</v>
      </c>
      <c r="G916" s="1">
        <v>45715</v>
      </c>
    </row>
    <row r="917" spans="1:7" x14ac:dyDescent="0.3">
      <c r="A917" t="s">
        <v>180</v>
      </c>
      <c r="B917">
        <v>12</v>
      </c>
      <c r="C917">
        <v>160</v>
      </c>
      <c r="D917" s="2">
        <f t="shared" si="11"/>
        <v>1920</v>
      </c>
      <c r="E917" t="s">
        <v>119</v>
      </c>
      <c r="G917" s="1">
        <v>45715</v>
      </c>
    </row>
    <row r="918" spans="1:7" x14ac:dyDescent="0.3">
      <c r="A918" t="s">
        <v>197</v>
      </c>
      <c r="B918">
        <v>12</v>
      </c>
      <c r="C918">
        <v>190</v>
      </c>
      <c r="D918" s="2">
        <f t="shared" si="11"/>
        <v>2280</v>
      </c>
      <c r="E918" t="s">
        <v>119</v>
      </c>
      <c r="G918" s="1">
        <v>45715</v>
      </c>
    </row>
    <row r="919" spans="1:7" x14ac:dyDescent="0.3">
      <c r="A919" t="s">
        <v>97</v>
      </c>
      <c r="B919">
        <v>5</v>
      </c>
      <c r="C919">
        <v>210</v>
      </c>
      <c r="D919" s="2">
        <f t="shared" si="11"/>
        <v>1050</v>
      </c>
      <c r="E919" t="s">
        <v>119</v>
      </c>
      <c r="G919" s="1">
        <v>45715</v>
      </c>
    </row>
    <row r="920" spans="1:7" x14ac:dyDescent="0.3">
      <c r="A920" t="s">
        <v>117</v>
      </c>
      <c r="B920">
        <v>9</v>
      </c>
      <c r="C920">
        <v>60</v>
      </c>
      <c r="D920" s="2">
        <f t="shared" si="11"/>
        <v>540</v>
      </c>
      <c r="E920" t="s">
        <v>7</v>
      </c>
      <c r="G920" s="1">
        <v>45718</v>
      </c>
    </row>
    <row r="921" spans="1:7" x14ac:dyDescent="0.3">
      <c r="A921" t="s">
        <v>212</v>
      </c>
      <c r="B921">
        <v>0.25</v>
      </c>
      <c r="C921">
        <v>200</v>
      </c>
      <c r="D921" s="2">
        <f t="shared" si="11"/>
        <v>50</v>
      </c>
      <c r="E921" t="s">
        <v>7</v>
      </c>
      <c r="G921" s="1">
        <v>45719</v>
      </c>
    </row>
    <row r="922" spans="1:7" x14ac:dyDescent="0.3">
      <c r="A922" t="s">
        <v>117</v>
      </c>
      <c r="B922">
        <v>1</v>
      </c>
      <c r="C922">
        <v>65</v>
      </c>
      <c r="D922" s="2">
        <f t="shared" si="11"/>
        <v>65</v>
      </c>
      <c r="E922" t="s">
        <v>7</v>
      </c>
      <c r="G922" s="1">
        <v>45720</v>
      </c>
    </row>
    <row r="923" spans="1:7" x14ac:dyDescent="0.3">
      <c r="A923" t="s">
        <v>182</v>
      </c>
      <c r="B923">
        <v>1</v>
      </c>
      <c r="C923">
        <v>250</v>
      </c>
      <c r="D923" s="2">
        <f t="shared" si="11"/>
        <v>250</v>
      </c>
      <c r="E923" t="s">
        <v>7</v>
      </c>
      <c r="G923" s="1">
        <v>45720</v>
      </c>
    </row>
    <row r="924" spans="1:7" x14ac:dyDescent="0.3">
      <c r="A924" t="s">
        <v>165</v>
      </c>
      <c r="B924">
        <v>10</v>
      </c>
      <c r="C924">
        <v>120</v>
      </c>
      <c r="D924" s="2">
        <f t="shared" si="11"/>
        <v>1200</v>
      </c>
      <c r="E924" t="s">
        <v>7</v>
      </c>
      <c r="G924" s="1">
        <v>45720</v>
      </c>
    </row>
    <row r="925" spans="1:7" x14ac:dyDescent="0.3">
      <c r="A925" t="s">
        <v>161</v>
      </c>
      <c r="B925">
        <v>10</v>
      </c>
      <c r="C925">
        <v>175</v>
      </c>
      <c r="D925" s="2">
        <f t="shared" si="11"/>
        <v>1750</v>
      </c>
      <c r="E925" t="s">
        <v>7</v>
      </c>
      <c r="G925" s="1">
        <v>45720</v>
      </c>
    </row>
    <row r="926" spans="1:7" x14ac:dyDescent="0.3">
      <c r="A926" t="s">
        <v>160</v>
      </c>
      <c r="B926">
        <v>10</v>
      </c>
      <c r="C926">
        <v>175</v>
      </c>
      <c r="D926" s="2">
        <f t="shared" si="11"/>
        <v>1750</v>
      </c>
      <c r="E926" t="s">
        <v>7</v>
      </c>
      <c r="G926" s="1">
        <v>45720</v>
      </c>
    </row>
    <row r="927" spans="1:7" x14ac:dyDescent="0.3">
      <c r="A927" t="s">
        <v>44</v>
      </c>
      <c r="B927">
        <v>1</v>
      </c>
      <c r="C927">
        <v>100</v>
      </c>
      <c r="D927" s="2">
        <f t="shared" si="11"/>
        <v>100</v>
      </c>
      <c r="E927" t="s">
        <v>7</v>
      </c>
      <c r="F927" t="s">
        <v>17</v>
      </c>
      <c r="G927" s="1">
        <v>45721</v>
      </c>
    </row>
    <row r="928" spans="1:7" x14ac:dyDescent="0.3">
      <c r="A928" t="s">
        <v>171</v>
      </c>
      <c r="B928">
        <v>2</v>
      </c>
      <c r="C928">
        <v>170</v>
      </c>
      <c r="D928" s="2">
        <f t="shared" si="11"/>
        <v>340</v>
      </c>
      <c r="E928" t="s">
        <v>7</v>
      </c>
      <c r="F928" t="s">
        <v>17</v>
      </c>
      <c r="G928" s="1">
        <v>45721</v>
      </c>
    </row>
    <row r="929" spans="1:7" x14ac:dyDescent="0.3">
      <c r="A929" t="s">
        <v>178</v>
      </c>
      <c r="B929">
        <v>1</v>
      </c>
      <c r="C929">
        <v>170</v>
      </c>
      <c r="D929" s="2">
        <f t="shared" si="11"/>
        <v>170</v>
      </c>
      <c r="E929" t="s">
        <v>7</v>
      </c>
      <c r="F929" t="s">
        <v>17</v>
      </c>
      <c r="G929" s="1">
        <v>45721</v>
      </c>
    </row>
    <row r="930" spans="1:7" x14ac:dyDescent="0.3">
      <c r="A930" t="s">
        <v>122</v>
      </c>
      <c r="B930">
        <v>2</v>
      </c>
      <c r="C930">
        <v>750</v>
      </c>
      <c r="D930" s="2">
        <f t="shared" si="11"/>
        <v>1500</v>
      </c>
      <c r="E930" t="s">
        <v>7</v>
      </c>
      <c r="F930" t="s">
        <v>17</v>
      </c>
      <c r="G930" s="1">
        <v>45721</v>
      </c>
    </row>
    <row r="931" spans="1:7" x14ac:dyDescent="0.3">
      <c r="A931" t="s">
        <v>117</v>
      </c>
      <c r="B931">
        <v>2</v>
      </c>
      <c r="C931">
        <v>60</v>
      </c>
      <c r="D931" s="2">
        <f t="shared" ref="D931:D996" si="12">B931*C931</f>
        <v>120</v>
      </c>
      <c r="E931" t="s">
        <v>7</v>
      </c>
      <c r="G931" s="1">
        <v>45724</v>
      </c>
    </row>
    <row r="932" spans="1:7" x14ac:dyDescent="0.3">
      <c r="A932" t="s">
        <v>173</v>
      </c>
      <c r="B932">
        <v>1</v>
      </c>
      <c r="C932">
        <v>170</v>
      </c>
      <c r="D932" s="2">
        <f t="shared" si="12"/>
        <v>170</v>
      </c>
      <c r="E932" t="s">
        <v>7</v>
      </c>
      <c r="G932" s="1">
        <v>45724</v>
      </c>
    </row>
    <row r="933" spans="1:7" x14ac:dyDescent="0.3">
      <c r="A933" t="s">
        <v>65</v>
      </c>
      <c r="B933">
        <v>0.06</v>
      </c>
      <c r="C933">
        <v>1150</v>
      </c>
      <c r="D933" s="2">
        <f t="shared" si="12"/>
        <v>69</v>
      </c>
      <c r="E933" t="s">
        <v>7</v>
      </c>
      <c r="G933" s="1">
        <v>45725</v>
      </c>
    </row>
    <row r="934" spans="1:7" x14ac:dyDescent="0.3">
      <c r="A934" t="s">
        <v>176</v>
      </c>
      <c r="B934">
        <v>5</v>
      </c>
      <c r="C934">
        <v>700</v>
      </c>
      <c r="D934" s="2">
        <f t="shared" si="12"/>
        <v>3500</v>
      </c>
      <c r="E934" t="s">
        <v>113</v>
      </c>
      <c r="G934" s="1">
        <v>45725</v>
      </c>
    </row>
    <row r="935" spans="1:7" x14ac:dyDescent="0.3">
      <c r="A935" t="s">
        <v>212</v>
      </c>
      <c r="B935">
        <v>2</v>
      </c>
      <c r="C935">
        <v>3500</v>
      </c>
      <c r="D935" s="2">
        <f t="shared" si="12"/>
        <v>7000</v>
      </c>
      <c r="E935" t="s">
        <v>113</v>
      </c>
      <c r="G935" s="1">
        <v>45725</v>
      </c>
    </row>
    <row r="936" spans="1:7" x14ac:dyDescent="0.3">
      <c r="A936" t="s">
        <v>161</v>
      </c>
      <c r="B936">
        <v>10</v>
      </c>
      <c r="C936">
        <v>350</v>
      </c>
      <c r="D936" s="2">
        <f t="shared" si="12"/>
        <v>3500</v>
      </c>
      <c r="E936" t="s">
        <v>113</v>
      </c>
      <c r="G936" s="1">
        <v>45725</v>
      </c>
    </row>
    <row r="937" spans="1:7" x14ac:dyDescent="0.3">
      <c r="A937" t="s">
        <v>160</v>
      </c>
      <c r="B937">
        <v>10</v>
      </c>
      <c r="C937">
        <v>350</v>
      </c>
      <c r="D937" s="2">
        <f t="shared" si="12"/>
        <v>3500</v>
      </c>
      <c r="E937" t="s">
        <v>113</v>
      </c>
      <c r="G937" s="1">
        <v>45725</v>
      </c>
    </row>
    <row r="938" spans="1:7" x14ac:dyDescent="0.3">
      <c r="A938" t="s">
        <v>165</v>
      </c>
      <c r="B938">
        <v>10</v>
      </c>
      <c r="C938">
        <v>350</v>
      </c>
      <c r="D938" s="2">
        <f t="shared" si="12"/>
        <v>3500</v>
      </c>
      <c r="E938" t="s">
        <v>113</v>
      </c>
      <c r="G938" s="1">
        <v>45725</v>
      </c>
    </row>
    <row r="939" spans="1:7" x14ac:dyDescent="0.3">
      <c r="A939" s="9" t="s">
        <v>121</v>
      </c>
      <c r="B939" s="10">
        <v>4</v>
      </c>
      <c r="C939" s="10"/>
      <c r="D939" s="11">
        <f>B939*C939</f>
        <v>0</v>
      </c>
      <c r="E939" t="s">
        <v>113</v>
      </c>
      <c r="F939" s="10"/>
      <c r="G939" s="1">
        <v>45725</v>
      </c>
    </row>
    <row r="940" spans="1:7" x14ac:dyDescent="0.3">
      <c r="A940" t="s">
        <v>196</v>
      </c>
      <c r="B940">
        <v>24</v>
      </c>
      <c r="C940">
        <v>300</v>
      </c>
      <c r="D940" s="2">
        <f t="shared" si="12"/>
        <v>7200</v>
      </c>
      <c r="E940" t="s">
        <v>113</v>
      </c>
      <c r="G940" s="1">
        <v>45725</v>
      </c>
    </row>
    <row r="941" spans="1:7" x14ac:dyDescent="0.3">
      <c r="A941" t="s">
        <v>185</v>
      </c>
      <c r="B941">
        <v>7</v>
      </c>
      <c r="C941">
        <v>1000</v>
      </c>
      <c r="D941" s="2">
        <f t="shared" si="12"/>
        <v>7000</v>
      </c>
      <c r="E941" t="s">
        <v>113</v>
      </c>
      <c r="G941" s="1">
        <v>45725</v>
      </c>
    </row>
    <row r="942" spans="1:7" x14ac:dyDescent="0.3">
      <c r="A942" t="s">
        <v>194</v>
      </c>
      <c r="B942">
        <v>7</v>
      </c>
      <c r="C942">
        <v>1500</v>
      </c>
      <c r="D942" s="2">
        <f t="shared" si="12"/>
        <v>10500</v>
      </c>
      <c r="E942" t="s">
        <v>113</v>
      </c>
      <c r="G942" s="1">
        <v>45725</v>
      </c>
    </row>
    <row r="943" spans="1:7" x14ac:dyDescent="0.3">
      <c r="A943" t="s">
        <v>221</v>
      </c>
      <c r="B943">
        <v>7</v>
      </c>
      <c r="C943">
        <v>1600</v>
      </c>
      <c r="D943" s="2">
        <f t="shared" si="12"/>
        <v>11200</v>
      </c>
      <c r="E943" t="s">
        <v>113</v>
      </c>
      <c r="G943" s="1">
        <v>45725</v>
      </c>
    </row>
    <row r="944" spans="1:7" x14ac:dyDescent="0.3">
      <c r="A944" t="s">
        <v>213</v>
      </c>
      <c r="B944">
        <v>7</v>
      </c>
      <c r="C944">
        <v>1700</v>
      </c>
      <c r="D944" s="2">
        <f t="shared" si="12"/>
        <v>11900</v>
      </c>
      <c r="E944" t="s">
        <v>113</v>
      </c>
      <c r="G944" s="1">
        <v>45725</v>
      </c>
    </row>
    <row r="945" spans="1:7" x14ac:dyDescent="0.3">
      <c r="A945" s="9" t="s">
        <v>78</v>
      </c>
      <c r="B945" s="10">
        <v>5</v>
      </c>
      <c r="C945" s="10"/>
      <c r="D945" s="11">
        <f>B945*C945</f>
        <v>0</v>
      </c>
      <c r="E945" t="s">
        <v>113</v>
      </c>
      <c r="F945" s="10"/>
      <c r="G945" s="1">
        <v>45725</v>
      </c>
    </row>
    <row r="946" spans="1:7" x14ac:dyDescent="0.3">
      <c r="A946" t="s">
        <v>65</v>
      </c>
      <c r="B946">
        <v>0.12</v>
      </c>
      <c r="C946">
        <v>1000</v>
      </c>
      <c r="D946" s="2">
        <f t="shared" si="12"/>
        <v>120</v>
      </c>
      <c r="E946" t="s">
        <v>7</v>
      </c>
      <c r="G946" s="1">
        <v>45726</v>
      </c>
    </row>
    <row r="947" spans="1:7" x14ac:dyDescent="0.3">
      <c r="A947" t="s">
        <v>14</v>
      </c>
      <c r="B947">
        <v>2</v>
      </c>
      <c r="C947">
        <v>15</v>
      </c>
      <c r="D947" s="2">
        <f t="shared" si="12"/>
        <v>30</v>
      </c>
      <c r="E947" t="s">
        <v>7</v>
      </c>
      <c r="G947" s="1">
        <v>45726</v>
      </c>
    </row>
    <row r="948" spans="1:7" x14ac:dyDescent="0.3">
      <c r="A948" t="s">
        <v>162</v>
      </c>
      <c r="B948">
        <v>4</v>
      </c>
      <c r="C948">
        <v>15</v>
      </c>
      <c r="D948" s="2">
        <f t="shared" si="12"/>
        <v>60</v>
      </c>
      <c r="E948" t="s">
        <v>7</v>
      </c>
      <c r="G948" s="1">
        <v>45727</v>
      </c>
    </row>
    <row r="949" spans="1:7" x14ac:dyDescent="0.3">
      <c r="A949" t="s">
        <v>215</v>
      </c>
      <c r="B949">
        <v>1</v>
      </c>
      <c r="C949">
        <v>80</v>
      </c>
      <c r="D949" s="2">
        <f t="shared" si="12"/>
        <v>80</v>
      </c>
      <c r="E949" t="s">
        <v>7</v>
      </c>
      <c r="G949" s="1">
        <v>45727</v>
      </c>
    </row>
    <row r="950" spans="1:7" x14ac:dyDescent="0.3">
      <c r="A950" t="s">
        <v>64</v>
      </c>
      <c r="B950">
        <v>1</v>
      </c>
      <c r="C950">
        <v>300</v>
      </c>
      <c r="D950" s="2">
        <f t="shared" si="12"/>
        <v>300</v>
      </c>
      <c r="E950" t="s">
        <v>7</v>
      </c>
      <c r="G950" s="1">
        <v>45728</v>
      </c>
    </row>
    <row r="951" spans="1:7" x14ac:dyDescent="0.3">
      <c r="A951" t="s">
        <v>65</v>
      </c>
      <c r="B951">
        <v>0.08</v>
      </c>
      <c r="C951">
        <v>1200</v>
      </c>
      <c r="D951" s="2">
        <f t="shared" si="12"/>
        <v>96</v>
      </c>
      <c r="E951" t="s">
        <v>7</v>
      </c>
      <c r="G951" s="1">
        <v>45728</v>
      </c>
    </row>
    <row r="952" spans="1:7" x14ac:dyDescent="0.3">
      <c r="A952" t="s">
        <v>161</v>
      </c>
      <c r="B952">
        <v>0.1</v>
      </c>
      <c r="C952">
        <v>250</v>
      </c>
      <c r="D952" s="2">
        <f t="shared" si="12"/>
        <v>25</v>
      </c>
      <c r="E952" t="s">
        <v>7</v>
      </c>
      <c r="G952" s="1">
        <v>45728</v>
      </c>
    </row>
    <row r="953" spans="1:7" x14ac:dyDescent="0.3">
      <c r="A953" t="s">
        <v>162</v>
      </c>
      <c r="B953">
        <v>1</v>
      </c>
      <c r="C953">
        <v>15</v>
      </c>
      <c r="D953" s="2">
        <f t="shared" si="12"/>
        <v>15</v>
      </c>
      <c r="E953" t="s">
        <v>7</v>
      </c>
      <c r="G953" s="1">
        <v>45729</v>
      </c>
    </row>
    <row r="954" spans="1:7" x14ac:dyDescent="0.3">
      <c r="A954" t="s">
        <v>221</v>
      </c>
      <c r="B954">
        <v>10</v>
      </c>
      <c r="C954">
        <v>1450</v>
      </c>
      <c r="D954" s="2">
        <f t="shared" si="12"/>
        <v>14500</v>
      </c>
      <c r="E954" t="s">
        <v>153</v>
      </c>
      <c r="G954" s="1">
        <v>45731</v>
      </c>
    </row>
    <row r="955" spans="1:7" x14ac:dyDescent="0.3">
      <c r="A955" t="s">
        <v>185</v>
      </c>
      <c r="B955">
        <v>10</v>
      </c>
      <c r="C955">
        <v>1250</v>
      </c>
      <c r="D955" s="2">
        <f t="shared" si="12"/>
        <v>12500</v>
      </c>
      <c r="E955" t="s">
        <v>153</v>
      </c>
      <c r="G955" s="1">
        <v>45731</v>
      </c>
    </row>
    <row r="956" spans="1:7" x14ac:dyDescent="0.3">
      <c r="A956" t="s">
        <v>194</v>
      </c>
      <c r="B956">
        <v>10</v>
      </c>
      <c r="C956">
        <v>500</v>
      </c>
      <c r="D956" s="2">
        <f t="shared" si="12"/>
        <v>5000</v>
      </c>
      <c r="E956" t="s">
        <v>153</v>
      </c>
      <c r="G956" s="1">
        <v>45731</v>
      </c>
    </row>
    <row r="957" spans="1:7" x14ac:dyDescent="0.3">
      <c r="A957" t="s">
        <v>176</v>
      </c>
      <c r="B957">
        <v>10</v>
      </c>
      <c r="C957">
        <v>800</v>
      </c>
      <c r="D957" s="2">
        <f t="shared" si="12"/>
        <v>8000</v>
      </c>
      <c r="E957" t="s">
        <v>153</v>
      </c>
      <c r="G957" s="1">
        <v>45731</v>
      </c>
    </row>
    <row r="958" spans="1:7" x14ac:dyDescent="0.3">
      <c r="A958" t="s">
        <v>162</v>
      </c>
      <c r="B958">
        <v>4</v>
      </c>
      <c r="C958">
        <v>15</v>
      </c>
      <c r="D958" s="2">
        <f t="shared" si="12"/>
        <v>60</v>
      </c>
      <c r="E958" t="s">
        <v>7</v>
      </c>
      <c r="G958" s="1">
        <v>45738</v>
      </c>
    </row>
    <row r="959" spans="1:7" x14ac:dyDescent="0.3">
      <c r="A959" t="s">
        <v>162</v>
      </c>
      <c r="B959">
        <v>8</v>
      </c>
      <c r="C959">
        <v>15</v>
      </c>
      <c r="D959" s="2">
        <f t="shared" si="12"/>
        <v>120</v>
      </c>
      <c r="E959" t="s">
        <v>7</v>
      </c>
      <c r="G959" s="1">
        <v>45740</v>
      </c>
    </row>
    <row r="960" spans="1:7" x14ac:dyDescent="0.3">
      <c r="A960" t="s">
        <v>178</v>
      </c>
      <c r="B960">
        <v>1</v>
      </c>
      <c r="C960">
        <v>170</v>
      </c>
      <c r="D960" s="2">
        <f t="shared" si="12"/>
        <v>170</v>
      </c>
      <c r="E960" t="s">
        <v>7</v>
      </c>
      <c r="F960" t="s">
        <v>17</v>
      </c>
      <c r="G960" s="1">
        <v>45742</v>
      </c>
    </row>
    <row r="961" spans="1:7" x14ac:dyDescent="0.3">
      <c r="A961" t="s">
        <v>162</v>
      </c>
      <c r="B961">
        <v>1</v>
      </c>
      <c r="C961">
        <v>15</v>
      </c>
      <c r="D961" s="2">
        <f t="shared" si="12"/>
        <v>15</v>
      </c>
      <c r="E961" t="s">
        <v>7</v>
      </c>
      <c r="G961" s="1">
        <v>45742</v>
      </c>
    </row>
    <row r="962" spans="1:7" x14ac:dyDescent="0.3">
      <c r="A962" t="s">
        <v>44</v>
      </c>
      <c r="B962">
        <v>1</v>
      </c>
      <c r="C962">
        <v>70</v>
      </c>
      <c r="D962" s="2">
        <f t="shared" si="12"/>
        <v>70</v>
      </c>
      <c r="E962" t="s">
        <v>7</v>
      </c>
      <c r="G962" s="1">
        <v>45743</v>
      </c>
    </row>
    <row r="963" spans="1:7" x14ac:dyDescent="0.3">
      <c r="A963" t="s">
        <v>182</v>
      </c>
      <c r="B963">
        <v>1</v>
      </c>
      <c r="C963">
        <v>250</v>
      </c>
      <c r="D963" s="2">
        <f t="shared" si="12"/>
        <v>250</v>
      </c>
      <c r="E963" t="s">
        <v>7</v>
      </c>
      <c r="G963" s="1">
        <v>45743</v>
      </c>
    </row>
    <row r="964" spans="1:7" x14ac:dyDescent="0.3">
      <c r="A964" t="s">
        <v>182</v>
      </c>
      <c r="B964">
        <v>1</v>
      </c>
      <c r="C964">
        <v>220</v>
      </c>
      <c r="D964" s="2">
        <f t="shared" si="12"/>
        <v>220</v>
      </c>
      <c r="E964" t="s">
        <v>7</v>
      </c>
      <c r="G964" s="1">
        <v>45750</v>
      </c>
    </row>
    <row r="965" spans="1:7" x14ac:dyDescent="0.3">
      <c r="A965" t="s">
        <v>162</v>
      </c>
      <c r="B965">
        <v>1</v>
      </c>
      <c r="C965">
        <v>15</v>
      </c>
      <c r="D965" s="2">
        <f t="shared" si="12"/>
        <v>15</v>
      </c>
      <c r="E965" t="s">
        <v>7</v>
      </c>
      <c r="G965" s="1">
        <v>45750</v>
      </c>
    </row>
    <row r="966" spans="1:7" x14ac:dyDescent="0.3">
      <c r="A966" t="s">
        <v>189</v>
      </c>
      <c r="B966">
        <v>1</v>
      </c>
      <c r="C966">
        <v>150</v>
      </c>
      <c r="D966" s="2">
        <f t="shared" si="12"/>
        <v>150</v>
      </c>
      <c r="E966" t="s">
        <v>7</v>
      </c>
      <c r="G966" s="1">
        <v>45750</v>
      </c>
    </row>
    <row r="967" spans="1:7" x14ac:dyDescent="0.3">
      <c r="A967" t="s">
        <v>162</v>
      </c>
      <c r="B967">
        <v>1</v>
      </c>
      <c r="C967">
        <v>15</v>
      </c>
      <c r="D967" s="2">
        <f t="shared" si="12"/>
        <v>15</v>
      </c>
      <c r="E967" t="s">
        <v>7</v>
      </c>
      <c r="G967" s="1">
        <v>45752</v>
      </c>
    </row>
    <row r="968" spans="1:7" x14ac:dyDescent="0.3">
      <c r="A968" t="s">
        <v>173</v>
      </c>
      <c r="B968">
        <v>3</v>
      </c>
      <c r="C968">
        <v>150</v>
      </c>
      <c r="D968" s="2">
        <f t="shared" si="12"/>
        <v>450</v>
      </c>
      <c r="E968" t="s">
        <v>7</v>
      </c>
      <c r="G968" s="1">
        <v>45752</v>
      </c>
    </row>
    <row r="969" spans="1:7" x14ac:dyDescent="0.3">
      <c r="A969" t="s">
        <v>211</v>
      </c>
      <c r="B969">
        <v>1</v>
      </c>
      <c r="C969">
        <v>80</v>
      </c>
      <c r="D969" s="2">
        <f t="shared" si="12"/>
        <v>80</v>
      </c>
      <c r="E969" t="s">
        <v>7</v>
      </c>
      <c r="G969" s="1">
        <v>45752</v>
      </c>
    </row>
    <row r="970" spans="1:7" x14ac:dyDescent="0.3">
      <c r="A970" t="s">
        <v>190</v>
      </c>
      <c r="B970">
        <v>1</v>
      </c>
      <c r="C970">
        <v>100</v>
      </c>
      <c r="D970" s="2">
        <f t="shared" si="12"/>
        <v>100</v>
      </c>
      <c r="E970" t="s">
        <v>7</v>
      </c>
      <c r="G970" s="1">
        <v>45752</v>
      </c>
    </row>
    <row r="971" spans="1:7" x14ac:dyDescent="0.3">
      <c r="A971" t="s">
        <v>233</v>
      </c>
      <c r="B971">
        <v>1</v>
      </c>
      <c r="C971">
        <v>300</v>
      </c>
      <c r="D971" s="2">
        <f t="shared" si="12"/>
        <v>300</v>
      </c>
      <c r="E971" t="s">
        <v>7</v>
      </c>
      <c r="F971" t="s">
        <v>17</v>
      </c>
      <c r="G971" s="1">
        <v>45752</v>
      </c>
    </row>
    <row r="972" spans="1:7" x14ac:dyDescent="0.3">
      <c r="A972" t="s">
        <v>182</v>
      </c>
      <c r="B972">
        <v>1</v>
      </c>
      <c r="C972">
        <v>230</v>
      </c>
      <c r="D972" s="2">
        <f t="shared" si="12"/>
        <v>230</v>
      </c>
      <c r="E972" t="s">
        <v>7</v>
      </c>
      <c r="G972" s="1">
        <v>45753</v>
      </c>
    </row>
    <row r="973" spans="1:7" x14ac:dyDescent="0.3">
      <c r="A973" t="s">
        <v>162</v>
      </c>
      <c r="B973">
        <v>2</v>
      </c>
      <c r="C973">
        <v>30</v>
      </c>
      <c r="D973" s="2">
        <f t="shared" si="12"/>
        <v>60</v>
      </c>
      <c r="E973" t="s">
        <v>7</v>
      </c>
      <c r="G973" s="1">
        <v>45754</v>
      </c>
    </row>
    <row r="974" spans="1:7" x14ac:dyDescent="0.3">
      <c r="A974" t="s">
        <v>162</v>
      </c>
      <c r="B974">
        <v>1</v>
      </c>
      <c r="C974">
        <v>15</v>
      </c>
      <c r="D974" s="2">
        <f t="shared" si="12"/>
        <v>15</v>
      </c>
      <c r="E974" t="s">
        <v>7</v>
      </c>
      <c r="G974" s="1">
        <v>45755</v>
      </c>
    </row>
    <row r="975" spans="1:7" x14ac:dyDescent="0.3">
      <c r="A975" t="s">
        <v>182</v>
      </c>
      <c r="B975">
        <v>1</v>
      </c>
      <c r="C975">
        <v>200</v>
      </c>
      <c r="D975" s="2">
        <f t="shared" si="12"/>
        <v>200</v>
      </c>
      <c r="E975" t="s">
        <v>7</v>
      </c>
      <c r="G975" s="1">
        <v>45756</v>
      </c>
    </row>
    <row r="976" spans="1:7" x14ac:dyDescent="0.3">
      <c r="A976" t="s">
        <v>178</v>
      </c>
      <c r="B976">
        <v>1</v>
      </c>
      <c r="C976">
        <v>160</v>
      </c>
      <c r="D976" s="2">
        <f t="shared" si="12"/>
        <v>160</v>
      </c>
      <c r="E976" t="s">
        <v>7</v>
      </c>
      <c r="G976" s="1">
        <v>45756</v>
      </c>
    </row>
    <row r="977" spans="1:7" x14ac:dyDescent="0.3">
      <c r="A977" t="s">
        <v>169</v>
      </c>
      <c r="B977">
        <v>1</v>
      </c>
      <c r="C977">
        <v>100</v>
      </c>
      <c r="D977" s="2">
        <f t="shared" si="12"/>
        <v>100</v>
      </c>
      <c r="E977" t="s">
        <v>7</v>
      </c>
      <c r="G977" s="1">
        <v>45756</v>
      </c>
    </row>
    <row r="978" spans="1:7" x14ac:dyDescent="0.3">
      <c r="A978" t="s">
        <v>190</v>
      </c>
      <c r="B978">
        <v>1</v>
      </c>
      <c r="C978">
        <v>110</v>
      </c>
      <c r="D978" s="2">
        <f t="shared" si="12"/>
        <v>110</v>
      </c>
      <c r="E978" t="s">
        <v>7</v>
      </c>
      <c r="G978" s="1">
        <v>45756</v>
      </c>
    </row>
    <row r="979" spans="1:7" x14ac:dyDescent="0.3">
      <c r="A979" t="s">
        <v>178</v>
      </c>
      <c r="B979">
        <v>1</v>
      </c>
      <c r="C979">
        <v>150</v>
      </c>
      <c r="D979" s="2">
        <f t="shared" si="12"/>
        <v>150</v>
      </c>
      <c r="E979" t="s">
        <v>7</v>
      </c>
      <c r="G979" s="1">
        <v>45757</v>
      </c>
    </row>
    <row r="980" spans="1:7" x14ac:dyDescent="0.3">
      <c r="A980" t="s">
        <v>165</v>
      </c>
      <c r="B980">
        <v>1</v>
      </c>
      <c r="C980">
        <v>200</v>
      </c>
      <c r="D980" s="2">
        <f t="shared" si="12"/>
        <v>200</v>
      </c>
      <c r="E980" t="s">
        <v>7</v>
      </c>
      <c r="G980" s="1">
        <v>45759</v>
      </c>
    </row>
    <row r="981" spans="1:7" x14ac:dyDescent="0.3">
      <c r="A981" t="s">
        <v>176</v>
      </c>
      <c r="B981">
        <v>0.2</v>
      </c>
      <c r="C981">
        <v>600</v>
      </c>
      <c r="D981" s="2">
        <f t="shared" si="12"/>
        <v>120</v>
      </c>
      <c r="E981" t="s">
        <v>7</v>
      </c>
      <c r="G981" s="1">
        <v>45759</v>
      </c>
    </row>
    <row r="982" spans="1:7" x14ac:dyDescent="0.3">
      <c r="A982" t="s">
        <v>64</v>
      </c>
      <c r="B982">
        <v>1</v>
      </c>
      <c r="C982">
        <v>270</v>
      </c>
      <c r="D982" s="2">
        <f t="shared" si="12"/>
        <v>270</v>
      </c>
      <c r="E982" t="s">
        <v>7</v>
      </c>
      <c r="G982" s="1">
        <v>45761</v>
      </c>
    </row>
    <row r="983" spans="1:7" x14ac:dyDescent="0.3">
      <c r="A983" t="s">
        <v>182</v>
      </c>
      <c r="B983">
        <v>1</v>
      </c>
      <c r="C983">
        <v>210</v>
      </c>
      <c r="D983" s="2">
        <f t="shared" si="12"/>
        <v>210</v>
      </c>
      <c r="E983" t="s">
        <v>7</v>
      </c>
      <c r="G983" s="1">
        <v>45762</v>
      </c>
    </row>
    <row r="984" spans="1:7" x14ac:dyDescent="0.3">
      <c r="A984" t="s">
        <v>178</v>
      </c>
      <c r="B984">
        <v>1</v>
      </c>
      <c r="C984">
        <v>150</v>
      </c>
      <c r="D984" s="2">
        <f t="shared" si="12"/>
        <v>150</v>
      </c>
      <c r="E984" t="s">
        <v>7</v>
      </c>
      <c r="G984" s="1">
        <v>45763</v>
      </c>
    </row>
    <row r="985" spans="1:7" x14ac:dyDescent="0.3">
      <c r="A985" t="s">
        <v>176</v>
      </c>
      <c r="B985">
        <v>0.2</v>
      </c>
      <c r="C985">
        <v>500</v>
      </c>
      <c r="D985" s="2">
        <f t="shared" si="12"/>
        <v>100</v>
      </c>
      <c r="E985" t="s">
        <v>7</v>
      </c>
      <c r="G985" s="1">
        <v>45763</v>
      </c>
    </row>
    <row r="986" spans="1:7" x14ac:dyDescent="0.3">
      <c r="A986" t="s">
        <v>169</v>
      </c>
      <c r="B986">
        <v>1</v>
      </c>
      <c r="C986">
        <v>110</v>
      </c>
      <c r="D986" s="2">
        <f t="shared" si="12"/>
        <v>110</v>
      </c>
      <c r="E986" t="s">
        <v>7</v>
      </c>
      <c r="G986" s="1">
        <v>45764</v>
      </c>
    </row>
    <row r="987" spans="1:7" x14ac:dyDescent="0.3">
      <c r="A987" t="s">
        <v>193</v>
      </c>
      <c r="B987">
        <v>4</v>
      </c>
      <c r="C987">
        <v>400</v>
      </c>
      <c r="D987" s="2">
        <f t="shared" si="12"/>
        <v>1600</v>
      </c>
      <c r="E987" t="s">
        <v>153</v>
      </c>
      <c r="G987" s="1">
        <v>45766</v>
      </c>
    </row>
    <row r="988" spans="1:7" x14ac:dyDescent="0.3">
      <c r="A988" t="s">
        <v>178</v>
      </c>
      <c r="B988">
        <v>2</v>
      </c>
      <c r="C988">
        <v>155</v>
      </c>
      <c r="D988" s="2">
        <f t="shared" si="12"/>
        <v>310</v>
      </c>
      <c r="E988" t="s">
        <v>7</v>
      </c>
      <c r="G988" s="1">
        <v>45767</v>
      </c>
    </row>
    <row r="989" spans="1:7" x14ac:dyDescent="0.3">
      <c r="A989" t="s">
        <v>162</v>
      </c>
      <c r="B989">
        <v>3</v>
      </c>
      <c r="C989">
        <v>15</v>
      </c>
      <c r="D989" s="2">
        <f t="shared" si="12"/>
        <v>45</v>
      </c>
      <c r="E989" t="s">
        <v>7</v>
      </c>
      <c r="G989" s="1">
        <v>45767</v>
      </c>
    </row>
    <row r="990" spans="1:7" x14ac:dyDescent="0.3">
      <c r="A990" t="s">
        <v>178</v>
      </c>
      <c r="B990">
        <v>1</v>
      </c>
      <c r="C990">
        <v>170</v>
      </c>
      <c r="D990" s="2">
        <f t="shared" si="12"/>
        <v>170</v>
      </c>
      <c r="E990" t="s">
        <v>7</v>
      </c>
      <c r="G990" s="1">
        <v>45769</v>
      </c>
    </row>
    <row r="991" spans="1:7" x14ac:dyDescent="0.3">
      <c r="A991" t="s">
        <v>173</v>
      </c>
      <c r="B991">
        <v>1</v>
      </c>
      <c r="C991">
        <v>150</v>
      </c>
      <c r="D991" s="2">
        <f t="shared" si="12"/>
        <v>150</v>
      </c>
      <c r="E991" t="s">
        <v>7</v>
      </c>
      <c r="G991" s="1">
        <v>45770</v>
      </c>
    </row>
    <row r="992" spans="1:7" x14ac:dyDescent="0.3">
      <c r="A992" t="s">
        <v>182</v>
      </c>
      <c r="B992">
        <v>2</v>
      </c>
      <c r="C992">
        <v>240</v>
      </c>
      <c r="D992" s="2">
        <f t="shared" si="12"/>
        <v>480</v>
      </c>
      <c r="E992" t="s">
        <v>7</v>
      </c>
      <c r="G992" s="1">
        <v>45770</v>
      </c>
    </row>
    <row r="993" spans="1:7" x14ac:dyDescent="0.3">
      <c r="A993" t="s">
        <v>182</v>
      </c>
      <c r="B993">
        <v>1</v>
      </c>
      <c r="C993">
        <v>240</v>
      </c>
      <c r="D993" s="2">
        <f t="shared" si="12"/>
        <v>240</v>
      </c>
      <c r="E993" t="s">
        <v>7</v>
      </c>
      <c r="G993" s="1">
        <v>45771</v>
      </c>
    </row>
    <row r="994" spans="1:7" x14ac:dyDescent="0.3">
      <c r="A994" t="s">
        <v>182</v>
      </c>
      <c r="B994">
        <v>1</v>
      </c>
      <c r="C994">
        <v>300</v>
      </c>
      <c r="D994" s="2">
        <f t="shared" si="12"/>
        <v>300</v>
      </c>
      <c r="E994" t="s">
        <v>7</v>
      </c>
      <c r="G994" s="1">
        <v>45773</v>
      </c>
    </row>
    <row r="995" spans="1:7" x14ac:dyDescent="0.3">
      <c r="A995" t="s">
        <v>114</v>
      </c>
      <c r="B995">
        <v>1</v>
      </c>
      <c r="C995">
        <v>50</v>
      </c>
      <c r="D995" s="2">
        <f t="shared" si="12"/>
        <v>50</v>
      </c>
      <c r="E995" t="s">
        <v>7</v>
      </c>
      <c r="G995" s="1">
        <v>45774</v>
      </c>
    </row>
    <row r="996" spans="1:7" x14ac:dyDescent="0.3">
      <c r="A996" t="s">
        <v>182</v>
      </c>
      <c r="B996">
        <v>1</v>
      </c>
      <c r="C996">
        <v>190</v>
      </c>
      <c r="D996" s="2">
        <f t="shared" si="12"/>
        <v>190</v>
      </c>
      <c r="E996" t="s">
        <v>7</v>
      </c>
      <c r="G996" s="1">
        <v>45774</v>
      </c>
    </row>
    <row r="997" spans="1:7" x14ac:dyDescent="0.3">
      <c r="A997" t="s">
        <v>162</v>
      </c>
      <c r="B997">
        <v>2</v>
      </c>
      <c r="C997">
        <v>40</v>
      </c>
      <c r="D997" s="2">
        <f t="shared" ref="D997:D1064" si="13">B997*C997</f>
        <v>80</v>
      </c>
      <c r="E997" t="s">
        <v>7</v>
      </c>
      <c r="G997" s="1">
        <v>45774</v>
      </c>
    </row>
    <row r="998" spans="1:7" x14ac:dyDescent="0.3">
      <c r="A998" t="s">
        <v>177</v>
      </c>
      <c r="B998">
        <v>1</v>
      </c>
      <c r="C998">
        <v>250</v>
      </c>
      <c r="D998" s="2">
        <f t="shared" si="13"/>
        <v>250</v>
      </c>
      <c r="E998" t="s">
        <v>7</v>
      </c>
      <c r="G998" s="1">
        <v>45775</v>
      </c>
    </row>
    <row r="999" spans="1:7" x14ac:dyDescent="0.3">
      <c r="A999" t="s">
        <v>190</v>
      </c>
      <c r="B999">
        <v>1</v>
      </c>
      <c r="C999">
        <v>100</v>
      </c>
      <c r="D999" s="2">
        <f t="shared" si="13"/>
        <v>100</v>
      </c>
      <c r="E999" t="s">
        <v>7</v>
      </c>
      <c r="G999" s="1">
        <v>45775</v>
      </c>
    </row>
    <row r="1000" spans="1:7" x14ac:dyDescent="0.3">
      <c r="A1000" t="s">
        <v>182</v>
      </c>
      <c r="B1000">
        <v>1</v>
      </c>
      <c r="C1000">
        <v>240</v>
      </c>
      <c r="D1000" s="2">
        <f t="shared" si="13"/>
        <v>240</v>
      </c>
      <c r="E1000" t="s">
        <v>7</v>
      </c>
      <c r="G1000" s="1">
        <v>45777</v>
      </c>
    </row>
    <row r="1001" spans="1:7" x14ac:dyDescent="0.3">
      <c r="A1001" t="s">
        <v>189</v>
      </c>
      <c r="B1001">
        <v>1</v>
      </c>
      <c r="C1001">
        <v>150</v>
      </c>
      <c r="D1001" s="2">
        <f t="shared" si="13"/>
        <v>150</v>
      </c>
      <c r="E1001" t="s">
        <v>7</v>
      </c>
      <c r="G1001" s="1">
        <v>45777</v>
      </c>
    </row>
    <row r="1002" spans="1:7" x14ac:dyDescent="0.3">
      <c r="A1002" t="s">
        <v>173</v>
      </c>
      <c r="B1002">
        <v>1</v>
      </c>
      <c r="C1002">
        <v>170</v>
      </c>
      <c r="D1002" s="2">
        <f t="shared" si="13"/>
        <v>170</v>
      </c>
      <c r="E1002" t="s">
        <v>7</v>
      </c>
      <c r="G1002" s="1">
        <v>45778</v>
      </c>
    </row>
    <row r="1003" spans="1:7" x14ac:dyDescent="0.3">
      <c r="A1003" t="s">
        <v>177</v>
      </c>
      <c r="B1003">
        <v>1</v>
      </c>
      <c r="C1003">
        <v>250</v>
      </c>
      <c r="D1003" s="2">
        <f t="shared" si="13"/>
        <v>250</v>
      </c>
      <c r="E1003" t="s">
        <v>7</v>
      </c>
      <c r="G1003" s="1">
        <v>45778</v>
      </c>
    </row>
    <row r="1004" spans="1:7" x14ac:dyDescent="0.3">
      <c r="A1004" t="s">
        <v>167</v>
      </c>
      <c r="B1004">
        <v>1</v>
      </c>
      <c r="C1004">
        <v>200</v>
      </c>
      <c r="D1004" s="2">
        <f t="shared" si="13"/>
        <v>200</v>
      </c>
      <c r="E1004" t="s">
        <v>7</v>
      </c>
      <c r="G1004" s="1">
        <v>45778</v>
      </c>
    </row>
    <row r="1005" spans="1:7" x14ac:dyDescent="0.3">
      <c r="A1005" t="s">
        <v>162</v>
      </c>
      <c r="B1005">
        <v>1</v>
      </c>
      <c r="C1005">
        <v>20</v>
      </c>
      <c r="D1005" s="2">
        <f t="shared" si="13"/>
        <v>20</v>
      </c>
      <c r="E1005" t="s">
        <v>7</v>
      </c>
      <c r="G1005" s="1">
        <v>45781</v>
      </c>
    </row>
    <row r="1006" spans="1:7" x14ac:dyDescent="0.3">
      <c r="A1006" t="s">
        <v>192</v>
      </c>
      <c r="B1006">
        <v>1</v>
      </c>
      <c r="C1006">
        <v>300</v>
      </c>
      <c r="D1006" s="2">
        <f t="shared" si="13"/>
        <v>300</v>
      </c>
      <c r="E1006" t="s">
        <v>7</v>
      </c>
      <c r="G1006" s="1">
        <v>45781</v>
      </c>
    </row>
    <row r="1007" spans="1:7" x14ac:dyDescent="0.3">
      <c r="A1007" s="9" t="s">
        <v>230</v>
      </c>
      <c r="B1007" s="10">
        <v>24</v>
      </c>
      <c r="C1007" s="10"/>
      <c r="D1007" s="11">
        <f>B1007*C1007</f>
        <v>0</v>
      </c>
      <c r="E1007" t="s">
        <v>113</v>
      </c>
      <c r="F1007" s="10"/>
      <c r="G1007" s="1">
        <v>45782</v>
      </c>
    </row>
    <row r="1008" spans="1:7" x14ac:dyDescent="0.3">
      <c r="A1008" s="9" t="s">
        <v>151</v>
      </c>
      <c r="B1008" s="10">
        <v>42</v>
      </c>
      <c r="C1008" s="10"/>
      <c r="D1008" s="11">
        <f>B1008*C1008</f>
        <v>0</v>
      </c>
      <c r="E1008" t="s">
        <v>113</v>
      </c>
      <c r="F1008" s="10"/>
      <c r="G1008" s="1">
        <v>45782</v>
      </c>
    </row>
    <row r="1009" spans="1:7" x14ac:dyDescent="0.3">
      <c r="A1009" s="9" t="s">
        <v>231</v>
      </c>
      <c r="B1009" s="10">
        <v>24</v>
      </c>
      <c r="C1009" s="10"/>
      <c r="D1009" s="11">
        <f>B1009*C1009</f>
        <v>0</v>
      </c>
      <c r="E1009" t="s">
        <v>113</v>
      </c>
      <c r="F1009" s="10"/>
      <c r="G1009" s="1">
        <v>45782</v>
      </c>
    </row>
    <row r="1010" spans="1:7" x14ac:dyDescent="0.3">
      <c r="A1010" s="9" t="s">
        <v>174</v>
      </c>
      <c r="B1010" s="10">
        <v>10</v>
      </c>
      <c r="C1010" s="10"/>
      <c r="D1010" s="11">
        <f>B1010*C1010</f>
        <v>0</v>
      </c>
      <c r="E1010" t="s">
        <v>113</v>
      </c>
      <c r="F1010" s="10"/>
      <c r="G1010" s="1">
        <v>45782</v>
      </c>
    </row>
    <row r="1011" spans="1:7" x14ac:dyDescent="0.3">
      <c r="A1011" t="s">
        <v>178</v>
      </c>
      <c r="B1011">
        <v>1</v>
      </c>
      <c r="C1011">
        <v>170</v>
      </c>
      <c r="D1011" s="2">
        <f t="shared" si="13"/>
        <v>170</v>
      </c>
      <c r="E1011" t="s">
        <v>7</v>
      </c>
      <c r="G1011" s="1">
        <v>45782</v>
      </c>
    </row>
    <row r="1012" spans="1:7" x14ac:dyDescent="0.3">
      <c r="A1012" t="s">
        <v>176</v>
      </c>
      <c r="B1012">
        <v>0.2</v>
      </c>
      <c r="C1012">
        <v>500</v>
      </c>
      <c r="D1012" s="2">
        <f t="shared" si="13"/>
        <v>100</v>
      </c>
      <c r="E1012" t="s">
        <v>7</v>
      </c>
      <c r="G1012" s="1">
        <v>45783</v>
      </c>
    </row>
    <row r="1013" spans="1:7" x14ac:dyDescent="0.3">
      <c r="A1013" t="s">
        <v>162</v>
      </c>
      <c r="B1013">
        <v>1</v>
      </c>
      <c r="C1013">
        <v>20</v>
      </c>
      <c r="D1013" s="2">
        <f t="shared" si="13"/>
        <v>20</v>
      </c>
      <c r="E1013" t="s">
        <v>7</v>
      </c>
      <c r="G1013" s="1">
        <v>45783</v>
      </c>
    </row>
    <row r="1014" spans="1:7" x14ac:dyDescent="0.3">
      <c r="A1014" t="s">
        <v>185</v>
      </c>
      <c r="B1014">
        <v>8</v>
      </c>
      <c r="C1014">
        <v>1250</v>
      </c>
      <c r="D1014" s="2">
        <f t="shared" si="13"/>
        <v>10000</v>
      </c>
      <c r="E1014" t="s">
        <v>153</v>
      </c>
      <c r="G1014" s="1">
        <v>45783</v>
      </c>
    </row>
    <row r="1015" spans="1:7" x14ac:dyDescent="0.3">
      <c r="A1015" t="s">
        <v>194</v>
      </c>
      <c r="B1015">
        <v>8</v>
      </c>
      <c r="C1015">
        <v>1300</v>
      </c>
      <c r="D1015" s="2">
        <f t="shared" si="13"/>
        <v>10400</v>
      </c>
      <c r="E1015" t="s">
        <v>153</v>
      </c>
      <c r="G1015" s="1">
        <v>45783</v>
      </c>
    </row>
    <row r="1016" spans="1:7" x14ac:dyDescent="0.3">
      <c r="A1016" t="s">
        <v>221</v>
      </c>
      <c r="B1016">
        <v>9</v>
      </c>
      <c r="C1016">
        <v>1450</v>
      </c>
      <c r="D1016" s="2">
        <f t="shared" si="13"/>
        <v>13050</v>
      </c>
      <c r="E1016" t="s">
        <v>153</v>
      </c>
      <c r="G1016" s="1">
        <v>45783</v>
      </c>
    </row>
    <row r="1017" spans="1:7" x14ac:dyDescent="0.3">
      <c r="A1017" t="s">
        <v>176</v>
      </c>
      <c r="B1017">
        <v>10</v>
      </c>
      <c r="C1017">
        <v>800</v>
      </c>
      <c r="D1017" s="2">
        <f t="shared" si="13"/>
        <v>8000</v>
      </c>
      <c r="E1017" t="s">
        <v>153</v>
      </c>
      <c r="G1017" s="1">
        <v>45783</v>
      </c>
    </row>
    <row r="1018" spans="1:7" x14ac:dyDescent="0.3">
      <c r="A1018" t="s">
        <v>161</v>
      </c>
      <c r="B1018">
        <v>20</v>
      </c>
      <c r="C1018">
        <v>300</v>
      </c>
      <c r="D1018" s="2">
        <f t="shared" si="13"/>
        <v>6000</v>
      </c>
      <c r="E1018" t="s">
        <v>153</v>
      </c>
      <c r="G1018" s="1">
        <v>45783</v>
      </c>
    </row>
    <row r="1019" spans="1:7" x14ac:dyDescent="0.3">
      <c r="A1019" t="s">
        <v>167</v>
      </c>
      <c r="B1019">
        <v>15</v>
      </c>
      <c r="C1019">
        <v>350</v>
      </c>
      <c r="D1019" s="2">
        <f t="shared" si="13"/>
        <v>5250</v>
      </c>
      <c r="E1019" t="s">
        <v>153</v>
      </c>
      <c r="G1019" s="1">
        <v>45783</v>
      </c>
    </row>
    <row r="1020" spans="1:7" x14ac:dyDescent="0.3">
      <c r="A1020" t="s">
        <v>182</v>
      </c>
      <c r="B1020">
        <v>1</v>
      </c>
      <c r="C1020">
        <v>235</v>
      </c>
      <c r="D1020" s="2">
        <f t="shared" si="13"/>
        <v>235</v>
      </c>
      <c r="E1020" t="s">
        <v>7</v>
      </c>
      <c r="G1020" s="1">
        <v>45784</v>
      </c>
    </row>
    <row r="1021" spans="1:7" x14ac:dyDescent="0.3">
      <c r="A1021" t="s">
        <v>190</v>
      </c>
      <c r="B1021">
        <v>1</v>
      </c>
      <c r="C1021">
        <v>120</v>
      </c>
      <c r="D1021" s="2">
        <f t="shared" si="13"/>
        <v>120</v>
      </c>
      <c r="E1021" t="s">
        <v>7</v>
      </c>
      <c r="G1021" s="1">
        <v>45784</v>
      </c>
    </row>
    <row r="1022" spans="1:7" x14ac:dyDescent="0.3">
      <c r="A1022" t="s">
        <v>188</v>
      </c>
      <c r="B1022">
        <v>1</v>
      </c>
      <c r="C1022">
        <v>120</v>
      </c>
      <c r="D1022" s="2">
        <f t="shared" si="13"/>
        <v>120</v>
      </c>
      <c r="E1022" t="s">
        <v>7</v>
      </c>
      <c r="G1022" s="1">
        <v>45784</v>
      </c>
    </row>
    <row r="1023" spans="1:7" x14ac:dyDescent="0.3">
      <c r="A1023" t="s">
        <v>176</v>
      </c>
      <c r="B1023">
        <v>0.2</v>
      </c>
      <c r="C1023">
        <v>600</v>
      </c>
      <c r="D1023" s="2">
        <f t="shared" si="13"/>
        <v>120</v>
      </c>
      <c r="E1023" t="s">
        <v>7</v>
      </c>
      <c r="G1023" s="1">
        <v>45784</v>
      </c>
    </row>
    <row r="1024" spans="1:7" x14ac:dyDescent="0.3">
      <c r="A1024" t="s">
        <v>44</v>
      </c>
      <c r="B1024">
        <v>1</v>
      </c>
      <c r="C1024">
        <v>80</v>
      </c>
      <c r="D1024" s="2">
        <f t="shared" si="13"/>
        <v>80</v>
      </c>
      <c r="E1024" t="s">
        <v>7</v>
      </c>
      <c r="G1024" s="1">
        <v>45785</v>
      </c>
    </row>
    <row r="1025" spans="1:9" x14ac:dyDescent="0.3">
      <c r="A1025" t="s">
        <v>177</v>
      </c>
      <c r="B1025">
        <v>1</v>
      </c>
      <c r="C1025">
        <v>250</v>
      </c>
      <c r="D1025" s="2">
        <f t="shared" si="13"/>
        <v>250</v>
      </c>
      <c r="E1025" t="s">
        <v>7</v>
      </c>
      <c r="G1025" s="1">
        <v>45785</v>
      </c>
    </row>
    <row r="1026" spans="1:9" x14ac:dyDescent="0.3">
      <c r="A1026" t="s">
        <v>169</v>
      </c>
      <c r="B1026">
        <v>2</v>
      </c>
      <c r="C1026">
        <v>90</v>
      </c>
      <c r="D1026" s="2">
        <f t="shared" si="13"/>
        <v>180</v>
      </c>
      <c r="E1026" t="s">
        <v>7</v>
      </c>
      <c r="G1026" s="1">
        <v>45787</v>
      </c>
    </row>
    <row r="1027" spans="1:9" x14ac:dyDescent="0.3">
      <c r="A1027" t="s">
        <v>190</v>
      </c>
      <c r="B1027">
        <v>1</v>
      </c>
      <c r="C1027">
        <v>100</v>
      </c>
      <c r="D1027" s="2">
        <f t="shared" si="13"/>
        <v>100</v>
      </c>
      <c r="E1027" t="s">
        <v>7</v>
      </c>
      <c r="G1027" s="1">
        <v>45787</v>
      </c>
    </row>
    <row r="1028" spans="1:9" x14ac:dyDescent="0.3">
      <c r="A1028" t="s">
        <v>188</v>
      </c>
      <c r="B1028">
        <v>1</v>
      </c>
      <c r="C1028">
        <v>90</v>
      </c>
      <c r="D1028" s="2">
        <f t="shared" si="13"/>
        <v>90</v>
      </c>
      <c r="E1028" t="s">
        <v>7</v>
      </c>
      <c r="G1028" s="1">
        <v>45787</v>
      </c>
    </row>
    <row r="1029" spans="1:9" x14ac:dyDescent="0.3">
      <c r="A1029" t="s">
        <v>182</v>
      </c>
      <c r="B1029">
        <v>1</v>
      </c>
      <c r="C1029">
        <v>240</v>
      </c>
      <c r="D1029" s="2">
        <f t="shared" si="13"/>
        <v>240</v>
      </c>
      <c r="E1029" t="s">
        <v>7</v>
      </c>
      <c r="G1029" s="1">
        <v>45787</v>
      </c>
    </row>
    <row r="1030" spans="1:9" x14ac:dyDescent="0.3">
      <c r="A1030" t="s">
        <v>212</v>
      </c>
      <c r="B1030">
        <v>10</v>
      </c>
      <c r="C1030">
        <v>200</v>
      </c>
      <c r="D1030" s="2">
        <f t="shared" si="13"/>
        <v>2000</v>
      </c>
      <c r="E1030" t="s">
        <v>79</v>
      </c>
      <c r="G1030" s="1">
        <v>45788</v>
      </c>
    </row>
    <row r="1031" spans="1:9" x14ac:dyDescent="0.3">
      <c r="A1031" t="s">
        <v>123</v>
      </c>
      <c r="B1031">
        <v>10</v>
      </c>
      <c r="C1031">
        <v>60</v>
      </c>
      <c r="D1031" s="2">
        <f t="shared" si="13"/>
        <v>600</v>
      </c>
      <c r="E1031" t="s">
        <v>79</v>
      </c>
      <c r="G1031" s="1">
        <v>45788</v>
      </c>
    </row>
    <row r="1032" spans="1:9" x14ac:dyDescent="0.3">
      <c r="A1032" t="s">
        <v>167</v>
      </c>
      <c r="B1032">
        <v>6</v>
      </c>
      <c r="C1032">
        <v>200</v>
      </c>
      <c r="D1032" s="2">
        <f t="shared" si="13"/>
        <v>1200</v>
      </c>
      <c r="E1032" t="s">
        <v>79</v>
      </c>
      <c r="G1032" s="1">
        <v>45788</v>
      </c>
    </row>
    <row r="1033" spans="1:9" x14ac:dyDescent="0.3">
      <c r="A1033" t="s">
        <v>124</v>
      </c>
      <c r="B1033">
        <v>12</v>
      </c>
      <c r="C1033">
        <v>120</v>
      </c>
      <c r="D1033" s="2">
        <f t="shared" si="13"/>
        <v>1440</v>
      </c>
      <c r="E1033" t="s">
        <v>79</v>
      </c>
      <c r="G1033" s="1">
        <v>45788</v>
      </c>
    </row>
    <row r="1034" spans="1:9" x14ac:dyDescent="0.3">
      <c r="A1034" t="s">
        <v>124</v>
      </c>
      <c r="B1034">
        <v>1</v>
      </c>
      <c r="C1034">
        <v>120</v>
      </c>
      <c r="D1034" s="2">
        <f t="shared" si="13"/>
        <v>120</v>
      </c>
      <c r="E1034" t="s">
        <v>7</v>
      </c>
      <c r="G1034" s="1">
        <v>45788</v>
      </c>
      <c r="I1034">
        <f>SUBTOTAL(9,B1033:B1451)</f>
        <v>2549.7399999999998</v>
      </c>
    </row>
    <row r="1035" spans="1:9" x14ac:dyDescent="0.3">
      <c r="A1035" t="s">
        <v>162</v>
      </c>
      <c r="B1035">
        <v>1</v>
      </c>
      <c r="C1035">
        <v>20</v>
      </c>
      <c r="D1035" s="2">
        <f t="shared" si="13"/>
        <v>20</v>
      </c>
      <c r="E1035" t="s">
        <v>7</v>
      </c>
      <c r="G1035" s="1">
        <v>45789</v>
      </c>
    </row>
    <row r="1036" spans="1:9" x14ac:dyDescent="0.3">
      <c r="A1036" t="s">
        <v>186</v>
      </c>
      <c r="B1036">
        <v>1</v>
      </c>
      <c r="C1036">
        <v>350</v>
      </c>
      <c r="D1036" s="2">
        <f t="shared" si="13"/>
        <v>350</v>
      </c>
      <c r="E1036" t="s">
        <v>7</v>
      </c>
      <c r="G1036" s="1">
        <v>45789</v>
      </c>
    </row>
    <row r="1037" spans="1:9" x14ac:dyDescent="0.3">
      <c r="A1037" t="s">
        <v>124</v>
      </c>
      <c r="B1037">
        <v>1</v>
      </c>
      <c r="C1037">
        <v>120</v>
      </c>
      <c r="D1037" s="2">
        <f t="shared" si="13"/>
        <v>120</v>
      </c>
      <c r="E1037" t="s">
        <v>7</v>
      </c>
      <c r="G1037" s="1">
        <v>45790</v>
      </c>
    </row>
    <row r="1038" spans="1:9" x14ac:dyDescent="0.3">
      <c r="A1038" t="s">
        <v>173</v>
      </c>
      <c r="B1038">
        <v>2</v>
      </c>
      <c r="C1038">
        <v>150</v>
      </c>
      <c r="D1038" s="2">
        <f t="shared" si="13"/>
        <v>300</v>
      </c>
      <c r="E1038" t="s">
        <v>7</v>
      </c>
      <c r="G1038" s="1">
        <v>45790</v>
      </c>
    </row>
    <row r="1039" spans="1:9" x14ac:dyDescent="0.3">
      <c r="A1039" t="s">
        <v>191</v>
      </c>
      <c r="B1039">
        <v>1</v>
      </c>
      <c r="C1039">
        <v>450</v>
      </c>
      <c r="D1039" s="2">
        <f t="shared" si="13"/>
        <v>450</v>
      </c>
      <c r="E1039" t="s">
        <v>7</v>
      </c>
      <c r="G1039" s="1">
        <v>45790</v>
      </c>
    </row>
    <row r="1040" spans="1:9" x14ac:dyDescent="0.3">
      <c r="A1040" t="s">
        <v>124</v>
      </c>
      <c r="B1040">
        <v>4</v>
      </c>
      <c r="C1040">
        <v>120</v>
      </c>
      <c r="D1040" s="2">
        <f t="shared" si="13"/>
        <v>480</v>
      </c>
      <c r="E1040" t="s">
        <v>7</v>
      </c>
      <c r="G1040" s="1">
        <v>45790</v>
      </c>
    </row>
    <row r="1041" spans="1:7" x14ac:dyDescent="0.3">
      <c r="A1041" t="s">
        <v>123</v>
      </c>
      <c r="B1041">
        <v>4</v>
      </c>
      <c r="C1041">
        <v>60</v>
      </c>
      <c r="D1041" s="2">
        <f t="shared" si="13"/>
        <v>240</v>
      </c>
      <c r="E1041" t="s">
        <v>7</v>
      </c>
      <c r="G1041" s="1">
        <v>45790</v>
      </c>
    </row>
    <row r="1042" spans="1:7" x14ac:dyDescent="0.3">
      <c r="A1042" t="s">
        <v>190</v>
      </c>
      <c r="B1042">
        <v>1</v>
      </c>
      <c r="C1042">
        <v>100</v>
      </c>
      <c r="D1042" s="2">
        <f t="shared" si="13"/>
        <v>100</v>
      </c>
      <c r="E1042" t="s">
        <v>7</v>
      </c>
      <c r="G1042" s="1">
        <v>45791</v>
      </c>
    </row>
    <row r="1043" spans="1:7" x14ac:dyDescent="0.3">
      <c r="A1043" t="s">
        <v>176</v>
      </c>
      <c r="B1043">
        <v>0.2</v>
      </c>
      <c r="C1043">
        <v>600</v>
      </c>
      <c r="D1043" s="2">
        <f t="shared" si="13"/>
        <v>120</v>
      </c>
      <c r="E1043" t="s">
        <v>7</v>
      </c>
      <c r="G1043" s="1">
        <v>45792</v>
      </c>
    </row>
    <row r="1044" spans="1:7" x14ac:dyDescent="0.3">
      <c r="A1044" t="s">
        <v>123</v>
      </c>
      <c r="B1044">
        <v>1</v>
      </c>
      <c r="C1044">
        <v>60</v>
      </c>
      <c r="D1044" s="2">
        <f t="shared" si="13"/>
        <v>60</v>
      </c>
      <c r="E1044" t="s">
        <v>7</v>
      </c>
      <c r="G1044" s="1">
        <v>45792</v>
      </c>
    </row>
    <row r="1045" spans="1:7" x14ac:dyDescent="0.3">
      <c r="A1045" t="s">
        <v>182</v>
      </c>
      <c r="B1045">
        <v>1</v>
      </c>
      <c r="C1045">
        <v>240</v>
      </c>
      <c r="D1045" s="2">
        <f t="shared" si="13"/>
        <v>240</v>
      </c>
      <c r="E1045" t="s">
        <v>7</v>
      </c>
      <c r="G1045" s="1">
        <v>45792</v>
      </c>
    </row>
    <row r="1046" spans="1:7" x14ac:dyDescent="0.3">
      <c r="A1046" t="s">
        <v>170</v>
      </c>
      <c r="B1046">
        <v>17</v>
      </c>
      <c r="C1046">
        <v>250</v>
      </c>
      <c r="D1046" s="2">
        <f t="shared" si="13"/>
        <v>4250</v>
      </c>
      <c r="E1046" t="s">
        <v>113</v>
      </c>
      <c r="G1046" s="1">
        <v>45793</v>
      </c>
    </row>
    <row r="1047" spans="1:7" x14ac:dyDescent="0.3">
      <c r="A1047" t="s">
        <v>124</v>
      </c>
      <c r="B1047">
        <v>1</v>
      </c>
      <c r="C1047">
        <v>120</v>
      </c>
      <c r="D1047" s="2">
        <f t="shared" si="13"/>
        <v>120</v>
      </c>
      <c r="E1047" t="s">
        <v>7</v>
      </c>
      <c r="G1047" s="1">
        <v>45794</v>
      </c>
    </row>
    <row r="1048" spans="1:7" x14ac:dyDescent="0.3">
      <c r="A1048" t="s">
        <v>178</v>
      </c>
      <c r="B1048">
        <v>1</v>
      </c>
      <c r="C1048">
        <v>160</v>
      </c>
      <c r="D1048" s="2">
        <f t="shared" si="13"/>
        <v>160</v>
      </c>
      <c r="E1048" t="s">
        <v>7</v>
      </c>
      <c r="G1048" s="1">
        <v>45794</v>
      </c>
    </row>
    <row r="1049" spans="1:7" x14ac:dyDescent="0.3">
      <c r="A1049" t="s">
        <v>189</v>
      </c>
      <c r="B1049">
        <v>1</v>
      </c>
      <c r="C1049">
        <v>180</v>
      </c>
      <c r="D1049" s="2">
        <f t="shared" si="13"/>
        <v>180</v>
      </c>
      <c r="E1049" t="s">
        <v>7</v>
      </c>
      <c r="G1049" s="1">
        <v>45794</v>
      </c>
    </row>
    <row r="1050" spans="1:7" x14ac:dyDescent="0.3">
      <c r="A1050" t="s">
        <v>169</v>
      </c>
      <c r="B1050">
        <v>1</v>
      </c>
      <c r="C1050">
        <v>120</v>
      </c>
      <c r="D1050" s="2">
        <f t="shared" si="13"/>
        <v>120</v>
      </c>
      <c r="E1050" t="s">
        <v>7</v>
      </c>
      <c r="G1050" s="1">
        <v>45794</v>
      </c>
    </row>
    <row r="1051" spans="1:7" x14ac:dyDescent="0.3">
      <c r="A1051" t="s">
        <v>190</v>
      </c>
      <c r="B1051">
        <v>1</v>
      </c>
      <c r="C1051">
        <v>120</v>
      </c>
      <c r="D1051" s="2">
        <f t="shared" si="13"/>
        <v>120</v>
      </c>
      <c r="E1051" t="s">
        <v>7</v>
      </c>
      <c r="G1051" s="1">
        <v>45794</v>
      </c>
    </row>
    <row r="1052" spans="1:7" x14ac:dyDescent="0.3">
      <c r="A1052" t="s">
        <v>122</v>
      </c>
      <c r="B1052">
        <v>1</v>
      </c>
      <c r="C1052">
        <v>750</v>
      </c>
      <c r="D1052" s="2">
        <f t="shared" si="13"/>
        <v>750</v>
      </c>
      <c r="E1052" t="s">
        <v>7</v>
      </c>
      <c r="G1052" s="1">
        <v>45794</v>
      </c>
    </row>
    <row r="1053" spans="1:7" x14ac:dyDescent="0.3">
      <c r="A1053" t="s">
        <v>171</v>
      </c>
      <c r="B1053">
        <v>1</v>
      </c>
      <c r="C1053">
        <v>150</v>
      </c>
      <c r="D1053" s="2">
        <f t="shared" si="13"/>
        <v>150</v>
      </c>
      <c r="E1053" t="s">
        <v>7</v>
      </c>
      <c r="G1053" s="1">
        <v>45795</v>
      </c>
    </row>
    <row r="1054" spans="1:7" x14ac:dyDescent="0.3">
      <c r="A1054" t="s">
        <v>123</v>
      </c>
      <c r="B1054">
        <v>1</v>
      </c>
      <c r="C1054">
        <v>60</v>
      </c>
      <c r="D1054" s="2">
        <f t="shared" si="13"/>
        <v>60</v>
      </c>
      <c r="E1054" t="s">
        <v>7</v>
      </c>
      <c r="G1054" s="1">
        <v>45795</v>
      </c>
    </row>
    <row r="1055" spans="1:7" x14ac:dyDescent="0.3">
      <c r="A1055" t="s">
        <v>182</v>
      </c>
      <c r="B1055">
        <v>1</v>
      </c>
      <c r="C1055">
        <v>240</v>
      </c>
      <c r="D1055" s="2">
        <f t="shared" si="13"/>
        <v>240</v>
      </c>
      <c r="E1055" t="s">
        <v>7</v>
      </c>
      <c r="G1055" s="1">
        <v>45795</v>
      </c>
    </row>
    <row r="1056" spans="1:7" x14ac:dyDescent="0.3">
      <c r="A1056" t="s">
        <v>161</v>
      </c>
      <c r="B1056">
        <v>0.2</v>
      </c>
      <c r="C1056">
        <v>250</v>
      </c>
      <c r="D1056" s="2">
        <f t="shared" si="13"/>
        <v>50</v>
      </c>
      <c r="E1056" t="s">
        <v>7</v>
      </c>
      <c r="G1056" s="1">
        <v>45796</v>
      </c>
    </row>
    <row r="1057" spans="1:7" x14ac:dyDescent="0.3">
      <c r="A1057" t="s">
        <v>124</v>
      </c>
      <c r="B1057">
        <v>1</v>
      </c>
      <c r="C1057">
        <v>120</v>
      </c>
      <c r="D1057" s="2">
        <f t="shared" si="13"/>
        <v>120</v>
      </c>
      <c r="E1057" t="s">
        <v>7</v>
      </c>
      <c r="G1057" s="1">
        <v>45796</v>
      </c>
    </row>
    <row r="1058" spans="1:7" x14ac:dyDescent="0.3">
      <c r="A1058" t="s">
        <v>188</v>
      </c>
      <c r="B1058">
        <v>1</v>
      </c>
      <c r="C1058">
        <v>80</v>
      </c>
      <c r="D1058" s="2">
        <f t="shared" si="13"/>
        <v>80</v>
      </c>
      <c r="E1058" t="s">
        <v>7</v>
      </c>
      <c r="G1058" s="1">
        <v>45796</v>
      </c>
    </row>
    <row r="1059" spans="1:7" x14ac:dyDescent="0.3">
      <c r="A1059" t="s">
        <v>173</v>
      </c>
      <c r="B1059">
        <v>1</v>
      </c>
      <c r="C1059">
        <v>150</v>
      </c>
      <c r="D1059" s="2">
        <f t="shared" si="13"/>
        <v>150</v>
      </c>
      <c r="E1059" t="s">
        <v>7</v>
      </c>
      <c r="G1059" s="1">
        <v>45796</v>
      </c>
    </row>
    <row r="1060" spans="1:7" x14ac:dyDescent="0.3">
      <c r="A1060" t="s">
        <v>182</v>
      </c>
      <c r="B1060">
        <v>1</v>
      </c>
      <c r="C1060">
        <v>220</v>
      </c>
      <c r="D1060" s="2">
        <f t="shared" si="13"/>
        <v>220</v>
      </c>
      <c r="E1060" t="s">
        <v>7</v>
      </c>
      <c r="G1060" s="1">
        <v>45796</v>
      </c>
    </row>
    <row r="1061" spans="1:7" x14ac:dyDescent="0.3">
      <c r="A1061" t="s">
        <v>169</v>
      </c>
      <c r="B1061">
        <v>1</v>
      </c>
      <c r="C1061">
        <v>100</v>
      </c>
      <c r="D1061" s="2">
        <f t="shared" si="13"/>
        <v>100</v>
      </c>
      <c r="E1061" t="s">
        <v>7</v>
      </c>
      <c r="G1061" s="1">
        <v>45796</v>
      </c>
    </row>
    <row r="1062" spans="1:7" x14ac:dyDescent="0.3">
      <c r="A1062" t="s">
        <v>182</v>
      </c>
      <c r="B1062">
        <v>1</v>
      </c>
      <c r="C1062">
        <v>240</v>
      </c>
      <c r="D1062" s="2">
        <f t="shared" si="13"/>
        <v>240</v>
      </c>
      <c r="E1062" t="s">
        <v>7</v>
      </c>
      <c r="G1062" s="1">
        <v>45796</v>
      </c>
    </row>
    <row r="1063" spans="1:7" x14ac:dyDescent="0.3">
      <c r="A1063" t="s">
        <v>189</v>
      </c>
      <c r="B1063">
        <v>1</v>
      </c>
      <c r="C1063">
        <v>170</v>
      </c>
      <c r="D1063" s="2">
        <f t="shared" si="13"/>
        <v>170</v>
      </c>
      <c r="E1063" t="s">
        <v>7</v>
      </c>
      <c r="G1063" s="1">
        <v>45796</v>
      </c>
    </row>
    <row r="1064" spans="1:7" x14ac:dyDescent="0.3">
      <c r="A1064" t="s">
        <v>188</v>
      </c>
      <c r="B1064">
        <v>1</v>
      </c>
      <c r="C1064">
        <v>90</v>
      </c>
      <c r="D1064" s="2">
        <f t="shared" si="13"/>
        <v>90</v>
      </c>
      <c r="E1064" t="s">
        <v>7</v>
      </c>
      <c r="G1064" s="1">
        <v>45797</v>
      </c>
    </row>
    <row r="1065" spans="1:7" x14ac:dyDescent="0.3">
      <c r="A1065" t="s">
        <v>165</v>
      </c>
      <c r="B1065">
        <v>0.1</v>
      </c>
      <c r="C1065">
        <v>300</v>
      </c>
      <c r="D1065" s="2">
        <f t="shared" ref="D1065:D1128" si="14">B1065*C1065</f>
        <v>30</v>
      </c>
      <c r="E1065" t="s">
        <v>7</v>
      </c>
      <c r="G1065" s="1">
        <v>45797</v>
      </c>
    </row>
    <row r="1066" spans="1:7" x14ac:dyDescent="0.3">
      <c r="A1066" t="s">
        <v>215</v>
      </c>
      <c r="B1066">
        <v>1</v>
      </c>
      <c r="C1066">
        <v>50</v>
      </c>
      <c r="D1066" s="2">
        <f t="shared" si="14"/>
        <v>50</v>
      </c>
      <c r="E1066" t="s">
        <v>7</v>
      </c>
      <c r="G1066" s="1">
        <v>45797</v>
      </c>
    </row>
    <row r="1067" spans="1:7" x14ac:dyDescent="0.3">
      <c r="A1067" t="s">
        <v>123</v>
      </c>
      <c r="B1067">
        <v>1</v>
      </c>
      <c r="C1067">
        <v>60</v>
      </c>
      <c r="D1067" s="2">
        <f t="shared" si="14"/>
        <v>60</v>
      </c>
      <c r="E1067" t="s">
        <v>7</v>
      </c>
      <c r="G1067" s="1">
        <v>45797</v>
      </c>
    </row>
    <row r="1068" spans="1:7" x14ac:dyDescent="0.3">
      <c r="A1068" t="s">
        <v>188</v>
      </c>
      <c r="B1068">
        <v>1</v>
      </c>
      <c r="C1068">
        <v>90</v>
      </c>
      <c r="D1068" s="2">
        <f t="shared" si="14"/>
        <v>90</v>
      </c>
      <c r="E1068" t="s">
        <v>7</v>
      </c>
      <c r="G1068" s="1">
        <v>45797</v>
      </c>
    </row>
    <row r="1069" spans="1:7" x14ac:dyDescent="0.3">
      <c r="A1069" t="s">
        <v>212</v>
      </c>
      <c r="B1069">
        <v>0.25</v>
      </c>
      <c r="C1069">
        <v>200</v>
      </c>
      <c r="D1069" s="2">
        <f t="shared" si="14"/>
        <v>50</v>
      </c>
      <c r="E1069" t="s">
        <v>7</v>
      </c>
      <c r="G1069" s="1">
        <v>45797</v>
      </c>
    </row>
    <row r="1070" spans="1:7" x14ac:dyDescent="0.3">
      <c r="A1070" t="s">
        <v>44</v>
      </c>
      <c r="B1070">
        <v>1</v>
      </c>
      <c r="C1070">
        <v>100</v>
      </c>
      <c r="D1070" s="2">
        <f t="shared" si="14"/>
        <v>100</v>
      </c>
      <c r="E1070" t="s">
        <v>7</v>
      </c>
      <c r="G1070" s="1">
        <v>45797</v>
      </c>
    </row>
    <row r="1071" spans="1:7" x14ac:dyDescent="0.3">
      <c r="A1071" t="s">
        <v>124</v>
      </c>
      <c r="B1071">
        <v>1</v>
      </c>
      <c r="C1071">
        <v>120</v>
      </c>
      <c r="D1071" s="2">
        <f t="shared" si="14"/>
        <v>120</v>
      </c>
      <c r="E1071" t="s">
        <v>7</v>
      </c>
      <c r="G1071" s="1">
        <v>45797</v>
      </c>
    </row>
    <row r="1072" spans="1:7" x14ac:dyDescent="0.3">
      <c r="A1072" t="s">
        <v>123</v>
      </c>
      <c r="B1072">
        <v>1</v>
      </c>
      <c r="C1072">
        <v>60</v>
      </c>
      <c r="D1072" s="2">
        <f t="shared" si="14"/>
        <v>60</v>
      </c>
      <c r="E1072" t="s">
        <v>7</v>
      </c>
      <c r="G1072" s="1">
        <v>45797</v>
      </c>
    </row>
    <row r="1073" spans="1:7" x14ac:dyDescent="0.3">
      <c r="A1073" t="s">
        <v>189</v>
      </c>
      <c r="B1073">
        <v>1</v>
      </c>
      <c r="C1073">
        <v>150</v>
      </c>
      <c r="D1073" s="2">
        <f t="shared" si="14"/>
        <v>150</v>
      </c>
      <c r="E1073" t="s">
        <v>7</v>
      </c>
      <c r="G1073" s="1">
        <v>45797</v>
      </c>
    </row>
    <row r="1074" spans="1:7" x14ac:dyDescent="0.3">
      <c r="A1074" t="s">
        <v>188</v>
      </c>
      <c r="B1074">
        <v>1</v>
      </c>
      <c r="C1074">
        <v>90</v>
      </c>
      <c r="D1074" s="2">
        <f t="shared" si="14"/>
        <v>90</v>
      </c>
      <c r="E1074" t="s">
        <v>7</v>
      </c>
      <c r="G1074" s="1">
        <v>45797</v>
      </c>
    </row>
    <row r="1075" spans="1:7" x14ac:dyDescent="0.3">
      <c r="A1075" t="s">
        <v>162</v>
      </c>
      <c r="B1075">
        <v>1</v>
      </c>
      <c r="C1075">
        <v>20</v>
      </c>
      <c r="D1075" s="2">
        <f t="shared" si="14"/>
        <v>20</v>
      </c>
      <c r="E1075" t="s">
        <v>7</v>
      </c>
      <c r="G1075" s="1">
        <v>45797</v>
      </c>
    </row>
    <row r="1076" spans="1:7" x14ac:dyDescent="0.3">
      <c r="A1076" t="s">
        <v>123</v>
      </c>
      <c r="B1076">
        <v>2</v>
      </c>
      <c r="C1076">
        <v>60</v>
      </c>
      <c r="D1076" s="2">
        <f t="shared" si="14"/>
        <v>120</v>
      </c>
      <c r="E1076" t="s">
        <v>7</v>
      </c>
      <c r="G1076" s="1">
        <v>45798</v>
      </c>
    </row>
    <row r="1077" spans="1:7" x14ac:dyDescent="0.3">
      <c r="A1077" t="s">
        <v>212</v>
      </c>
      <c r="B1077">
        <v>1</v>
      </c>
      <c r="C1077">
        <v>200</v>
      </c>
      <c r="D1077" s="2">
        <f t="shared" si="14"/>
        <v>200</v>
      </c>
      <c r="E1077" t="s">
        <v>7</v>
      </c>
      <c r="G1077" s="1">
        <v>45799</v>
      </c>
    </row>
    <row r="1078" spans="1:7" x14ac:dyDescent="0.3">
      <c r="A1078" t="s">
        <v>162</v>
      </c>
      <c r="B1078">
        <v>1</v>
      </c>
      <c r="C1078">
        <v>20</v>
      </c>
      <c r="D1078" s="2">
        <f t="shared" si="14"/>
        <v>20</v>
      </c>
      <c r="E1078" t="s">
        <v>7</v>
      </c>
      <c r="G1078" s="1">
        <v>45799</v>
      </c>
    </row>
    <row r="1079" spans="1:7" x14ac:dyDescent="0.3">
      <c r="A1079" t="s">
        <v>124</v>
      </c>
      <c r="B1079">
        <v>1</v>
      </c>
      <c r="C1079">
        <v>120</v>
      </c>
      <c r="D1079" s="2">
        <f t="shared" si="14"/>
        <v>120</v>
      </c>
      <c r="E1079" t="s">
        <v>7</v>
      </c>
      <c r="G1079" s="1">
        <v>45799</v>
      </c>
    </row>
    <row r="1080" spans="1:7" x14ac:dyDescent="0.3">
      <c r="A1080" t="s">
        <v>161</v>
      </c>
      <c r="B1080">
        <v>0.5</v>
      </c>
      <c r="C1080">
        <v>230</v>
      </c>
      <c r="D1080" s="2">
        <f t="shared" si="14"/>
        <v>115</v>
      </c>
      <c r="E1080" t="s">
        <v>7</v>
      </c>
      <c r="G1080" s="1">
        <v>45799</v>
      </c>
    </row>
    <row r="1081" spans="1:7" x14ac:dyDescent="0.3">
      <c r="A1081" t="s">
        <v>173</v>
      </c>
      <c r="B1081">
        <v>1</v>
      </c>
      <c r="C1081">
        <v>165</v>
      </c>
      <c r="D1081" s="2">
        <f t="shared" si="14"/>
        <v>165</v>
      </c>
      <c r="E1081" t="s">
        <v>7</v>
      </c>
      <c r="G1081" s="1">
        <v>45801</v>
      </c>
    </row>
    <row r="1082" spans="1:7" x14ac:dyDescent="0.3">
      <c r="A1082" t="s">
        <v>188</v>
      </c>
      <c r="B1082">
        <v>2</v>
      </c>
      <c r="C1082">
        <v>90</v>
      </c>
      <c r="D1082" s="2">
        <f t="shared" si="14"/>
        <v>180</v>
      </c>
      <c r="E1082" t="s">
        <v>7</v>
      </c>
      <c r="G1082" s="1">
        <v>45801</v>
      </c>
    </row>
    <row r="1083" spans="1:7" x14ac:dyDescent="0.3">
      <c r="A1083" t="s">
        <v>169</v>
      </c>
      <c r="B1083">
        <v>1</v>
      </c>
      <c r="C1083">
        <v>100</v>
      </c>
      <c r="D1083" s="2">
        <f t="shared" si="14"/>
        <v>100</v>
      </c>
      <c r="E1083" t="s">
        <v>7</v>
      </c>
      <c r="G1083" s="1">
        <v>45801</v>
      </c>
    </row>
    <row r="1084" spans="1:7" x14ac:dyDescent="0.3">
      <c r="A1084" t="s">
        <v>160</v>
      </c>
      <c r="B1084">
        <v>0.4</v>
      </c>
      <c r="C1084">
        <v>250</v>
      </c>
      <c r="D1084" s="2">
        <f t="shared" si="14"/>
        <v>100</v>
      </c>
      <c r="E1084" t="s">
        <v>7</v>
      </c>
      <c r="G1084" s="1">
        <v>45802</v>
      </c>
    </row>
    <row r="1085" spans="1:7" x14ac:dyDescent="0.3">
      <c r="A1085" t="s">
        <v>169</v>
      </c>
      <c r="B1085">
        <v>1</v>
      </c>
      <c r="C1085">
        <v>100</v>
      </c>
      <c r="D1085" s="2">
        <f t="shared" si="14"/>
        <v>100</v>
      </c>
      <c r="E1085" t="s">
        <v>7</v>
      </c>
      <c r="G1085" s="1">
        <v>45802</v>
      </c>
    </row>
    <row r="1086" spans="1:7" x14ac:dyDescent="0.3">
      <c r="A1086" t="s">
        <v>165</v>
      </c>
      <c r="B1086">
        <v>0.2</v>
      </c>
      <c r="C1086">
        <v>250</v>
      </c>
      <c r="D1086" s="2">
        <f t="shared" si="14"/>
        <v>50</v>
      </c>
      <c r="E1086" t="s">
        <v>7</v>
      </c>
      <c r="G1086" s="1">
        <v>45802</v>
      </c>
    </row>
    <row r="1087" spans="1:7" x14ac:dyDescent="0.3">
      <c r="A1087" t="s">
        <v>169</v>
      </c>
      <c r="B1087">
        <v>1</v>
      </c>
      <c r="C1087">
        <v>120</v>
      </c>
      <c r="D1087" s="2">
        <f>B1087*C1087</f>
        <v>120</v>
      </c>
      <c r="E1087" t="s">
        <v>7</v>
      </c>
      <c r="G1087" s="1">
        <v>45803</v>
      </c>
    </row>
    <row r="1088" spans="1:7" x14ac:dyDescent="0.3">
      <c r="A1088" t="s">
        <v>169</v>
      </c>
      <c r="B1088">
        <v>1</v>
      </c>
      <c r="C1088">
        <v>120</v>
      </c>
      <c r="D1088" s="2">
        <f t="shared" si="14"/>
        <v>120</v>
      </c>
      <c r="E1088" t="s">
        <v>7</v>
      </c>
      <c r="G1088" s="1">
        <v>45804</v>
      </c>
    </row>
    <row r="1089" spans="1:7" x14ac:dyDescent="0.3">
      <c r="A1089" t="s">
        <v>41</v>
      </c>
      <c r="B1089">
        <v>2</v>
      </c>
      <c r="C1089">
        <v>55</v>
      </c>
      <c r="D1089" s="2">
        <f t="shared" si="14"/>
        <v>110</v>
      </c>
      <c r="E1089" t="s">
        <v>7</v>
      </c>
      <c r="G1089" s="1">
        <v>45805</v>
      </c>
    </row>
    <row r="1090" spans="1:7" x14ac:dyDescent="0.3">
      <c r="A1090" t="s">
        <v>167</v>
      </c>
      <c r="B1090">
        <v>1</v>
      </c>
      <c r="C1090">
        <v>200</v>
      </c>
      <c r="D1090" s="2">
        <f t="shared" si="14"/>
        <v>200</v>
      </c>
      <c r="E1090" t="s">
        <v>7</v>
      </c>
      <c r="G1090" s="1">
        <v>45805</v>
      </c>
    </row>
    <row r="1091" spans="1:7" x14ac:dyDescent="0.3">
      <c r="A1091" t="s">
        <v>182</v>
      </c>
      <c r="B1091">
        <v>1</v>
      </c>
      <c r="C1091">
        <v>200</v>
      </c>
      <c r="D1091" s="2">
        <f t="shared" si="14"/>
        <v>200</v>
      </c>
      <c r="E1091" t="s">
        <v>7</v>
      </c>
      <c r="G1091" s="1">
        <v>45805</v>
      </c>
    </row>
    <row r="1092" spans="1:7" x14ac:dyDescent="0.3">
      <c r="A1092" t="s">
        <v>162</v>
      </c>
      <c r="B1092">
        <v>1</v>
      </c>
      <c r="C1092">
        <v>20</v>
      </c>
      <c r="D1092" s="2">
        <f t="shared" si="14"/>
        <v>20</v>
      </c>
      <c r="E1092" t="s">
        <v>7</v>
      </c>
      <c r="G1092" s="1">
        <v>45805</v>
      </c>
    </row>
    <row r="1093" spans="1:7" x14ac:dyDescent="0.3">
      <c r="A1093" t="s">
        <v>176</v>
      </c>
      <c r="B1093">
        <v>0.2</v>
      </c>
      <c r="C1093">
        <v>550</v>
      </c>
      <c r="D1093" s="2">
        <f t="shared" si="14"/>
        <v>110</v>
      </c>
      <c r="E1093" t="s">
        <v>7</v>
      </c>
      <c r="G1093" s="1">
        <v>45806</v>
      </c>
    </row>
    <row r="1094" spans="1:7" x14ac:dyDescent="0.3">
      <c r="A1094" t="s">
        <v>182</v>
      </c>
      <c r="B1094">
        <v>2</v>
      </c>
      <c r="C1094">
        <v>240</v>
      </c>
      <c r="D1094" s="2">
        <f t="shared" si="14"/>
        <v>480</v>
      </c>
      <c r="E1094" t="s">
        <v>7</v>
      </c>
      <c r="G1094" s="1">
        <v>45806</v>
      </c>
    </row>
    <row r="1095" spans="1:7" x14ac:dyDescent="0.3">
      <c r="A1095" t="s">
        <v>211</v>
      </c>
      <c r="B1095">
        <v>1</v>
      </c>
      <c r="C1095">
        <v>80</v>
      </c>
      <c r="D1095" s="2">
        <f t="shared" si="14"/>
        <v>80</v>
      </c>
      <c r="E1095" t="s">
        <v>7</v>
      </c>
      <c r="G1095" s="1">
        <v>45806</v>
      </c>
    </row>
    <row r="1096" spans="1:7" x14ac:dyDescent="0.3">
      <c r="A1096" t="s">
        <v>212</v>
      </c>
      <c r="B1096">
        <v>0.5</v>
      </c>
      <c r="C1096">
        <v>200</v>
      </c>
      <c r="D1096" s="2">
        <f t="shared" si="14"/>
        <v>100</v>
      </c>
      <c r="E1096" t="s">
        <v>7</v>
      </c>
      <c r="G1096" s="1">
        <v>45806</v>
      </c>
    </row>
    <row r="1097" spans="1:7" x14ac:dyDescent="0.3">
      <c r="A1097" t="s">
        <v>212</v>
      </c>
      <c r="B1097">
        <v>1</v>
      </c>
      <c r="C1097">
        <v>180</v>
      </c>
      <c r="D1097" s="2">
        <f t="shared" si="14"/>
        <v>180</v>
      </c>
      <c r="E1097" t="s">
        <v>7</v>
      </c>
      <c r="G1097" s="1">
        <v>45806</v>
      </c>
    </row>
    <row r="1098" spans="1:7" x14ac:dyDescent="0.3">
      <c r="A1098" t="s">
        <v>124</v>
      </c>
      <c r="B1098">
        <v>2</v>
      </c>
      <c r="C1098">
        <v>110</v>
      </c>
      <c r="D1098" s="2">
        <f t="shared" si="14"/>
        <v>220</v>
      </c>
      <c r="E1098" t="s">
        <v>7</v>
      </c>
      <c r="G1098" s="1">
        <v>45806</v>
      </c>
    </row>
    <row r="1099" spans="1:7" x14ac:dyDescent="0.3">
      <c r="A1099" t="s">
        <v>64</v>
      </c>
      <c r="B1099">
        <v>1</v>
      </c>
      <c r="C1099">
        <v>260</v>
      </c>
      <c r="D1099" s="2">
        <f t="shared" si="14"/>
        <v>260</v>
      </c>
      <c r="E1099" t="s">
        <v>7</v>
      </c>
      <c r="G1099" s="1">
        <v>45806</v>
      </c>
    </row>
    <row r="1100" spans="1:7" x14ac:dyDescent="0.3">
      <c r="A1100" t="s">
        <v>173</v>
      </c>
      <c r="B1100">
        <v>1</v>
      </c>
      <c r="C1100">
        <v>170</v>
      </c>
      <c r="D1100" s="2">
        <f t="shared" si="14"/>
        <v>170</v>
      </c>
      <c r="E1100" t="s">
        <v>7</v>
      </c>
      <c r="G1100" s="1">
        <v>45806</v>
      </c>
    </row>
    <row r="1101" spans="1:7" x14ac:dyDescent="0.3">
      <c r="A1101" t="s">
        <v>171</v>
      </c>
      <c r="B1101">
        <v>1</v>
      </c>
      <c r="C1101">
        <v>150</v>
      </c>
      <c r="D1101" s="2">
        <f t="shared" si="14"/>
        <v>150</v>
      </c>
      <c r="E1101" t="s">
        <v>7</v>
      </c>
      <c r="G1101" s="1">
        <v>45806</v>
      </c>
    </row>
    <row r="1102" spans="1:7" x14ac:dyDescent="0.3">
      <c r="A1102" t="s">
        <v>160</v>
      </c>
      <c r="B1102">
        <v>2</v>
      </c>
      <c r="C1102">
        <v>210</v>
      </c>
      <c r="D1102" s="2">
        <f t="shared" si="14"/>
        <v>420</v>
      </c>
      <c r="E1102" t="s">
        <v>7</v>
      </c>
      <c r="G1102" s="1">
        <v>45806</v>
      </c>
    </row>
    <row r="1103" spans="1:7" x14ac:dyDescent="0.3">
      <c r="A1103" t="s">
        <v>160</v>
      </c>
      <c r="B1103">
        <v>0.25</v>
      </c>
      <c r="C1103">
        <v>260</v>
      </c>
      <c r="D1103" s="2">
        <f t="shared" si="14"/>
        <v>65</v>
      </c>
      <c r="E1103" t="s">
        <v>7</v>
      </c>
      <c r="G1103" s="1">
        <v>45806</v>
      </c>
    </row>
    <row r="1104" spans="1:7" x14ac:dyDescent="0.3">
      <c r="A1104" t="s">
        <v>124</v>
      </c>
      <c r="B1104">
        <v>1</v>
      </c>
      <c r="C1104">
        <v>120</v>
      </c>
      <c r="D1104" s="2">
        <f t="shared" si="14"/>
        <v>120</v>
      </c>
      <c r="E1104" t="s">
        <v>7</v>
      </c>
      <c r="G1104" s="1">
        <v>45808</v>
      </c>
    </row>
    <row r="1105" spans="1:7" x14ac:dyDescent="0.3">
      <c r="A1105" t="s">
        <v>212</v>
      </c>
      <c r="B1105">
        <v>1</v>
      </c>
      <c r="C1105">
        <v>200</v>
      </c>
      <c r="D1105" s="2">
        <f t="shared" si="14"/>
        <v>200</v>
      </c>
      <c r="E1105" t="s">
        <v>7</v>
      </c>
      <c r="G1105" s="1">
        <v>45808</v>
      </c>
    </row>
    <row r="1106" spans="1:7" x14ac:dyDescent="0.3">
      <c r="A1106" t="s">
        <v>182</v>
      </c>
      <c r="B1106">
        <v>1</v>
      </c>
      <c r="C1106">
        <v>240</v>
      </c>
      <c r="D1106" s="2">
        <f t="shared" si="14"/>
        <v>240</v>
      </c>
      <c r="E1106" t="s">
        <v>7</v>
      </c>
      <c r="G1106" s="1">
        <v>45808</v>
      </c>
    </row>
    <row r="1107" spans="1:7" x14ac:dyDescent="0.3">
      <c r="A1107" t="s">
        <v>167</v>
      </c>
      <c r="B1107">
        <v>1</v>
      </c>
      <c r="C1107">
        <v>220</v>
      </c>
      <c r="D1107" s="2">
        <f t="shared" si="14"/>
        <v>220</v>
      </c>
      <c r="E1107" t="s">
        <v>7</v>
      </c>
      <c r="G1107" s="1">
        <v>45808</v>
      </c>
    </row>
    <row r="1108" spans="1:7" x14ac:dyDescent="0.3">
      <c r="A1108" t="s">
        <v>173</v>
      </c>
      <c r="B1108">
        <v>1</v>
      </c>
      <c r="C1108">
        <v>150</v>
      </c>
      <c r="D1108" s="2">
        <f t="shared" si="14"/>
        <v>150</v>
      </c>
      <c r="E1108" t="s">
        <v>7</v>
      </c>
      <c r="G1108" s="1">
        <v>45808</v>
      </c>
    </row>
    <row r="1109" spans="1:7" x14ac:dyDescent="0.3">
      <c r="A1109" t="s">
        <v>165</v>
      </c>
      <c r="B1109">
        <v>0.4</v>
      </c>
      <c r="C1109">
        <v>210</v>
      </c>
      <c r="D1109" s="2">
        <f t="shared" si="14"/>
        <v>84</v>
      </c>
      <c r="E1109" t="s">
        <v>7</v>
      </c>
      <c r="G1109" s="1">
        <v>45808</v>
      </c>
    </row>
    <row r="1110" spans="1:7" x14ac:dyDescent="0.3">
      <c r="A1110" t="s">
        <v>182</v>
      </c>
      <c r="B1110">
        <v>1</v>
      </c>
      <c r="C1110">
        <v>220</v>
      </c>
      <c r="D1110" s="2">
        <f t="shared" si="14"/>
        <v>220</v>
      </c>
      <c r="E1110" t="s">
        <v>7</v>
      </c>
      <c r="G1110" s="1">
        <v>45809</v>
      </c>
    </row>
    <row r="1111" spans="1:7" x14ac:dyDescent="0.3">
      <c r="A1111" t="s">
        <v>212</v>
      </c>
      <c r="B1111">
        <v>1</v>
      </c>
      <c r="C1111">
        <v>200</v>
      </c>
      <c r="D1111" s="2">
        <f t="shared" si="14"/>
        <v>200</v>
      </c>
      <c r="E1111" t="s">
        <v>7</v>
      </c>
      <c r="G1111" s="1">
        <v>45811</v>
      </c>
    </row>
    <row r="1112" spans="1:7" x14ac:dyDescent="0.3">
      <c r="A1112" t="s">
        <v>160</v>
      </c>
      <c r="B1112">
        <v>0.5</v>
      </c>
      <c r="C1112">
        <v>240</v>
      </c>
      <c r="D1112" s="2">
        <f t="shared" si="14"/>
        <v>120</v>
      </c>
      <c r="E1112" t="s">
        <v>7</v>
      </c>
      <c r="G1112" s="1">
        <v>45812</v>
      </c>
    </row>
    <row r="1113" spans="1:7" x14ac:dyDescent="0.3">
      <c r="A1113" t="s">
        <v>165</v>
      </c>
      <c r="B1113">
        <v>0.5</v>
      </c>
      <c r="C1113">
        <v>200</v>
      </c>
      <c r="D1113" s="2">
        <f t="shared" si="14"/>
        <v>100</v>
      </c>
      <c r="E1113" t="s">
        <v>7</v>
      </c>
      <c r="G1113" s="1">
        <v>45812</v>
      </c>
    </row>
    <row r="1114" spans="1:7" x14ac:dyDescent="0.3">
      <c r="A1114" t="s">
        <v>162</v>
      </c>
      <c r="B1114">
        <v>2</v>
      </c>
      <c r="C1114">
        <v>20</v>
      </c>
      <c r="D1114" s="2">
        <f t="shared" si="14"/>
        <v>40</v>
      </c>
      <c r="E1114" t="s">
        <v>7</v>
      </c>
      <c r="G1114" s="1">
        <v>45812</v>
      </c>
    </row>
    <row r="1115" spans="1:7" x14ac:dyDescent="0.3">
      <c r="A1115" t="s">
        <v>188</v>
      </c>
      <c r="B1115">
        <v>1</v>
      </c>
      <c r="C1115">
        <v>80</v>
      </c>
      <c r="D1115" s="2">
        <f t="shared" si="14"/>
        <v>80</v>
      </c>
      <c r="E1115" t="s">
        <v>7</v>
      </c>
      <c r="G1115" s="1">
        <v>45812</v>
      </c>
    </row>
    <row r="1116" spans="1:7" x14ac:dyDescent="0.3">
      <c r="A1116" t="s">
        <v>165</v>
      </c>
      <c r="B1116">
        <v>0.37</v>
      </c>
      <c r="C1116">
        <v>200</v>
      </c>
      <c r="D1116" s="2">
        <f t="shared" si="14"/>
        <v>74</v>
      </c>
      <c r="E1116" t="s">
        <v>7</v>
      </c>
      <c r="G1116" s="1">
        <v>45817</v>
      </c>
    </row>
    <row r="1117" spans="1:7" x14ac:dyDescent="0.3">
      <c r="A1117" t="s">
        <v>160</v>
      </c>
      <c r="B1117">
        <v>0.45</v>
      </c>
      <c r="C1117">
        <v>220</v>
      </c>
      <c r="D1117" s="2">
        <f t="shared" si="14"/>
        <v>99</v>
      </c>
      <c r="E1117" t="s">
        <v>7</v>
      </c>
      <c r="G1117" s="1">
        <v>45817</v>
      </c>
    </row>
    <row r="1118" spans="1:7" x14ac:dyDescent="0.3">
      <c r="A1118" t="s">
        <v>176</v>
      </c>
      <c r="B1118">
        <v>0.2</v>
      </c>
      <c r="C1118">
        <v>550</v>
      </c>
      <c r="D1118" s="2">
        <f t="shared" si="14"/>
        <v>110</v>
      </c>
      <c r="E1118" t="s">
        <v>7</v>
      </c>
      <c r="G1118" s="1">
        <v>45817</v>
      </c>
    </row>
    <row r="1119" spans="1:7" x14ac:dyDescent="0.3">
      <c r="A1119" t="s">
        <v>169</v>
      </c>
      <c r="B1119">
        <v>1</v>
      </c>
      <c r="C1119">
        <v>120</v>
      </c>
      <c r="D1119" s="2">
        <f t="shared" si="14"/>
        <v>120</v>
      </c>
      <c r="E1119" t="s">
        <v>7</v>
      </c>
      <c r="G1119" s="1">
        <v>45817</v>
      </c>
    </row>
    <row r="1120" spans="1:7" x14ac:dyDescent="0.3">
      <c r="A1120" t="s">
        <v>166</v>
      </c>
      <c r="B1120">
        <v>2</v>
      </c>
      <c r="C1120">
        <v>55</v>
      </c>
      <c r="D1120" s="2">
        <f t="shared" si="14"/>
        <v>110</v>
      </c>
      <c r="E1120" t="s">
        <v>7</v>
      </c>
      <c r="G1120" s="1">
        <v>45817</v>
      </c>
    </row>
    <row r="1121" spans="1:9" x14ac:dyDescent="0.3">
      <c r="A1121" t="s">
        <v>41</v>
      </c>
      <c r="B1121">
        <v>2</v>
      </c>
      <c r="C1121">
        <v>110</v>
      </c>
      <c r="D1121" s="2">
        <f t="shared" si="14"/>
        <v>220</v>
      </c>
      <c r="E1121" t="s">
        <v>7</v>
      </c>
      <c r="G1121" s="1">
        <v>45817</v>
      </c>
    </row>
    <row r="1122" spans="1:9" x14ac:dyDescent="0.3">
      <c r="A1122" t="s">
        <v>173</v>
      </c>
      <c r="B1122">
        <v>1</v>
      </c>
      <c r="C1122">
        <v>150</v>
      </c>
      <c r="D1122" s="2">
        <f t="shared" si="14"/>
        <v>150</v>
      </c>
      <c r="E1122" t="s">
        <v>7</v>
      </c>
      <c r="G1122" s="1">
        <v>45817</v>
      </c>
    </row>
    <row r="1123" spans="1:9" x14ac:dyDescent="0.3">
      <c r="A1123" t="s">
        <v>171</v>
      </c>
      <c r="B1123">
        <v>1</v>
      </c>
      <c r="C1123">
        <v>100</v>
      </c>
      <c r="D1123" s="2">
        <f t="shared" si="14"/>
        <v>100</v>
      </c>
      <c r="E1123" t="s">
        <v>7</v>
      </c>
      <c r="G1123" s="1">
        <v>45817</v>
      </c>
    </row>
    <row r="1124" spans="1:9" x14ac:dyDescent="0.3">
      <c r="A1124" t="s">
        <v>41</v>
      </c>
      <c r="B1124">
        <v>1</v>
      </c>
      <c r="C1124">
        <v>55</v>
      </c>
      <c r="D1124" s="2">
        <f t="shared" si="14"/>
        <v>55</v>
      </c>
      <c r="E1124" t="s">
        <v>7</v>
      </c>
      <c r="G1124" s="1">
        <v>45818</v>
      </c>
    </row>
    <row r="1125" spans="1:9" x14ac:dyDescent="0.3">
      <c r="A1125" t="s">
        <v>166</v>
      </c>
      <c r="B1125">
        <v>2</v>
      </c>
      <c r="C1125">
        <v>55</v>
      </c>
      <c r="D1125" s="2">
        <f t="shared" si="14"/>
        <v>110</v>
      </c>
      <c r="E1125" t="s">
        <v>7</v>
      </c>
      <c r="G1125" s="1">
        <v>45818</v>
      </c>
      <c r="I1125">
        <f>SUBTOTAL(9,B1120:B1435)</f>
        <v>2413.6699999999996</v>
      </c>
    </row>
    <row r="1126" spans="1:9" x14ac:dyDescent="0.3">
      <c r="A1126" t="s">
        <v>124</v>
      </c>
      <c r="B1126">
        <v>1</v>
      </c>
      <c r="C1126">
        <v>120</v>
      </c>
      <c r="D1126" s="2">
        <f t="shared" si="14"/>
        <v>120</v>
      </c>
      <c r="E1126" t="s">
        <v>7</v>
      </c>
      <c r="G1126" s="1">
        <v>45818</v>
      </c>
    </row>
    <row r="1127" spans="1:9" x14ac:dyDescent="0.3">
      <c r="A1127" t="s">
        <v>162</v>
      </c>
      <c r="B1127">
        <v>1</v>
      </c>
      <c r="C1127">
        <v>20</v>
      </c>
      <c r="D1127" s="2">
        <f t="shared" si="14"/>
        <v>20</v>
      </c>
      <c r="E1127" t="s">
        <v>7</v>
      </c>
      <c r="G1127" s="1">
        <v>45818</v>
      </c>
    </row>
    <row r="1128" spans="1:9" x14ac:dyDescent="0.3">
      <c r="A1128" t="s">
        <v>212</v>
      </c>
      <c r="B1128">
        <v>0.75</v>
      </c>
      <c r="C1128">
        <v>200</v>
      </c>
      <c r="D1128" s="2">
        <f t="shared" si="14"/>
        <v>150</v>
      </c>
      <c r="E1128" t="s">
        <v>7</v>
      </c>
      <c r="G1128" s="1">
        <v>45818</v>
      </c>
    </row>
    <row r="1129" spans="1:9" x14ac:dyDescent="0.3">
      <c r="A1129" t="s">
        <v>44</v>
      </c>
      <c r="B1129">
        <v>1</v>
      </c>
      <c r="C1129">
        <v>75</v>
      </c>
      <c r="D1129" s="2">
        <f t="shared" ref="D1129:D1193" si="15">B1129*C1129</f>
        <v>75</v>
      </c>
      <c r="E1129" t="s">
        <v>7</v>
      </c>
      <c r="G1129" s="1">
        <v>45819</v>
      </c>
    </row>
    <row r="1130" spans="1:9" x14ac:dyDescent="0.3">
      <c r="A1130" t="s">
        <v>124</v>
      </c>
      <c r="B1130">
        <v>1</v>
      </c>
      <c r="C1130">
        <v>120</v>
      </c>
      <c r="D1130" s="2">
        <f t="shared" si="15"/>
        <v>120</v>
      </c>
      <c r="E1130" t="s">
        <v>7</v>
      </c>
      <c r="G1130" s="1">
        <v>45819</v>
      </c>
    </row>
    <row r="1131" spans="1:9" x14ac:dyDescent="0.3">
      <c r="A1131" t="s">
        <v>169</v>
      </c>
      <c r="B1131">
        <v>1</v>
      </c>
      <c r="C1131">
        <v>120</v>
      </c>
      <c r="D1131" s="2">
        <f t="shared" si="15"/>
        <v>120</v>
      </c>
      <c r="E1131" t="s">
        <v>7</v>
      </c>
      <c r="G1131" s="1">
        <v>45819</v>
      </c>
    </row>
    <row r="1132" spans="1:9" x14ac:dyDescent="0.3">
      <c r="A1132" t="s">
        <v>162</v>
      </c>
      <c r="B1132">
        <v>1</v>
      </c>
      <c r="C1132">
        <v>20</v>
      </c>
      <c r="D1132" s="2">
        <f t="shared" si="15"/>
        <v>20</v>
      </c>
      <c r="E1132" t="s">
        <v>7</v>
      </c>
      <c r="G1132" s="1">
        <v>45819</v>
      </c>
    </row>
    <row r="1133" spans="1:9" x14ac:dyDescent="0.3">
      <c r="A1133" t="s">
        <v>161</v>
      </c>
      <c r="B1133">
        <v>0.5</v>
      </c>
      <c r="C1133">
        <v>240</v>
      </c>
      <c r="D1133" s="2">
        <f t="shared" si="15"/>
        <v>120</v>
      </c>
      <c r="E1133" t="s">
        <v>7</v>
      </c>
      <c r="G1133" s="1">
        <v>45819</v>
      </c>
    </row>
    <row r="1134" spans="1:9" x14ac:dyDescent="0.3">
      <c r="A1134" t="s">
        <v>212</v>
      </c>
      <c r="B1134">
        <v>0.5</v>
      </c>
      <c r="C1134">
        <v>200</v>
      </c>
      <c r="D1134" s="2">
        <f t="shared" si="15"/>
        <v>100</v>
      </c>
      <c r="E1134" t="s">
        <v>7</v>
      </c>
      <c r="G1134" s="1">
        <v>45820</v>
      </c>
    </row>
    <row r="1135" spans="1:9" x14ac:dyDescent="0.3">
      <c r="A1135" t="s">
        <v>169</v>
      </c>
      <c r="B1135">
        <v>1</v>
      </c>
      <c r="C1135">
        <v>100</v>
      </c>
      <c r="D1135" s="2">
        <f t="shared" si="15"/>
        <v>100</v>
      </c>
      <c r="E1135" t="s">
        <v>7</v>
      </c>
      <c r="G1135" s="1">
        <v>45820</v>
      </c>
    </row>
    <row r="1136" spans="1:9" x14ac:dyDescent="0.3">
      <c r="A1136" t="s">
        <v>171</v>
      </c>
      <c r="B1136">
        <v>3</v>
      </c>
      <c r="C1136">
        <v>100</v>
      </c>
      <c r="D1136" s="2">
        <f t="shared" si="15"/>
        <v>300</v>
      </c>
      <c r="E1136" t="s">
        <v>7</v>
      </c>
      <c r="G1136" s="1">
        <v>45820</v>
      </c>
    </row>
    <row r="1137" spans="1:7" x14ac:dyDescent="0.3">
      <c r="A1137" t="s">
        <v>182</v>
      </c>
      <c r="B1137">
        <v>1</v>
      </c>
      <c r="C1137">
        <v>200</v>
      </c>
      <c r="D1137" s="2">
        <f t="shared" si="15"/>
        <v>200</v>
      </c>
      <c r="E1137" t="s">
        <v>7</v>
      </c>
      <c r="G1137" s="1">
        <v>45820</v>
      </c>
    </row>
    <row r="1138" spans="1:7" x14ac:dyDescent="0.3">
      <c r="A1138" t="s">
        <v>166</v>
      </c>
      <c r="B1138">
        <v>1</v>
      </c>
      <c r="C1138">
        <v>55</v>
      </c>
      <c r="D1138" s="2">
        <f t="shared" si="15"/>
        <v>55</v>
      </c>
      <c r="E1138" t="s">
        <v>7</v>
      </c>
      <c r="G1138" s="1">
        <v>45820</v>
      </c>
    </row>
    <row r="1139" spans="1:7" x14ac:dyDescent="0.3">
      <c r="A1139" t="s">
        <v>165</v>
      </c>
      <c r="B1139">
        <v>1</v>
      </c>
      <c r="C1139">
        <v>200</v>
      </c>
      <c r="D1139" s="2">
        <f t="shared" si="15"/>
        <v>200</v>
      </c>
      <c r="E1139" t="s">
        <v>7</v>
      </c>
      <c r="G1139" s="1">
        <v>45820</v>
      </c>
    </row>
    <row r="1140" spans="1:7" x14ac:dyDescent="0.3">
      <c r="A1140" t="s">
        <v>166</v>
      </c>
      <c r="B1140">
        <v>1</v>
      </c>
      <c r="C1140">
        <v>60</v>
      </c>
      <c r="D1140" s="2">
        <f t="shared" si="15"/>
        <v>60</v>
      </c>
      <c r="E1140" t="s">
        <v>7</v>
      </c>
      <c r="G1140" s="1">
        <v>45822</v>
      </c>
    </row>
    <row r="1141" spans="1:7" x14ac:dyDescent="0.3">
      <c r="A1141" t="s">
        <v>188</v>
      </c>
      <c r="B1141">
        <v>1</v>
      </c>
      <c r="C1141">
        <v>80</v>
      </c>
      <c r="D1141" s="2">
        <f t="shared" si="15"/>
        <v>80</v>
      </c>
      <c r="E1141" t="s">
        <v>7</v>
      </c>
      <c r="G1141" s="1">
        <v>45822</v>
      </c>
    </row>
    <row r="1142" spans="1:7" x14ac:dyDescent="0.3">
      <c r="A1142" t="s">
        <v>212</v>
      </c>
      <c r="B1142">
        <v>1</v>
      </c>
      <c r="C1142">
        <v>180</v>
      </c>
      <c r="D1142" s="2">
        <f t="shared" si="15"/>
        <v>180</v>
      </c>
      <c r="E1142" t="s">
        <v>7</v>
      </c>
      <c r="G1142" s="1">
        <v>45822</v>
      </c>
    </row>
    <row r="1143" spans="1:7" x14ac:dyDescent="0.3">
      <c r="A1143" t="s">
        <v>187</v>
      </c>
      <c r="B1143">
        <v>1</v>
      </c>
      <c r="C1143">
        <v>100</v>
      </c>
      <c r="D1143" s="2">
        <f t="shared" si="15"/>
        <v>100</v>
      </c>
      <c r="E1143" t="s">
        <v>7</v>
      </c>
      <c r="G1143" s="1">
        <v>45822</v>
      </c>
    </row>
    <row r="1144" spans="1:7" x14ac:dyDescent="0.3">
      <c r="A1144" t="s">
        <v>64</v>
      </c>
      <c r="B1144">
        <v>1</v>
      </c>
      <c r="C1144">
        <v>200</v>
      </c>
      <c r="D1144" s="2">
        <f t="shared" si="15"/>
        <v>200</v>
      </c>
      <c r="E1144" t="s">
        <v>7</v>
      </c>
      <c r="G1144" s="1">
        <v>45822</v>
      </c>
    </row>
    <row r="1145" spans="1:7" x14ac:dyDescent="0.3">
      <c r="A1145" t="s">
        <v>160</v>
      </c>
      <c r="B1145">
        <v>0.25</v>
      </c>
      <c r="C1145">
        <v>240</v>
      </c>
      <c r="D1145" s="2">
        <f t="shared" si="15"/>
        <v>60</v>
      </c>
      <c r="E1145" t="s">
        <v>7</v>
      </c>
      <c r="G1145" s="1">
        <v>45822</v>
      </c>
    </row>
    <row r="1146" spans="1:7" x14ac:dyDescent="0.3">
      <c r="A1146" t="s">
        <v>186</v>
      </c>
      <c r="B1146">
        <v>1</v>
      </c>
      <c r="C1146">
        <v>350</v>
      </c>
      <c r="D1146" s="2">
        <f t="shared" si="15"/>
        <v>350</v>
      </c>
      <c r="E1146" t="s">
        <v>7</v>
      </c>
      <c r="G1146" s="1">
        <v>45822</v>
      </c>
    </row>
    <row r="1147" spans="1:7" x14ac:dyDescent="0.3">
      <c r="A1147" t="s">
        <v>176</v>
      </c>
      <c r="B1147">
        <v>0.2</v>
      </c>
      <c r="C1147">
        <v>600</v>
      </c>
      <c r="D1147" s="2">
        <f t="shared" si="15"/>
        <v>120</v>
      </c>
      <c r="E1147" t="s">
        <v>7</v>
      </c>
      <c r="G1147" s="1">
        <v>45823</v>
      </c>
    </row>
    <row r="1148" spans="1:7" x14ac:dyDescent="0.3">
      <c r="A1148" t="s">
        <v>212</v>
      </c>
      <c r="B1148">
        <v>1</v>
      </c>
      <c r="C1148">
        <v>200</v>
      </c>
      <c r="D1148" s="2">
        <f t="shared" si="15"/>
        <v>200</v>
      </c>
      <c r="E1148" t="s">
        <v>7</v>
      </c>
      <c r="G1148" s="1">
        <v>45823</v>
      </c>
    </row>
    <row r="1149" spans="1:7" x14ac:dyDescent="0.3">
      <c r="A1149" t="s">
        <v>185</v>
      </c>
      <c r="B1149">
        <v>1</v>
      </c>
      <c r="C1149">
        <v>800</v>
      </c>
      <c r="D1149" s="2">
        <f t="shared" si="15"/>
        <v>800</v>
      </c>
      <c r="E1149" t="s">
        <v>7</v>
      </c>
      <c r="G1149" s="1">
        <v>45825</v>
      </c>
    </row>
    <row r="1150" spans="1:7" x14ac:dyDescent="0.3">
      <c r="A1150" t="s">
        <v>171</v>
      </c>
      <c r="B1150">
        <v>1</v>
      </c>
      <c r="C1150">
        <v>80</v>
      </c>
      <c r="D1150" s="2">
        <f t="shared" si="15"/>
        <v>80</v>
      </c>
      <c r="E1150" t="s">
        <v>7</v>
      </c>
      <c r="G1150" s="1">
        <v>45825</v>
      </c>
    </row>
    <row r="1151" spans="1:7" x14ac:dyDescent="0.3">
      <c r="A1151" t="s">
        <v>162</v>
      </c>
      <c r="B1151">
        <v>1</v>
      </c>
      <c r="C1151">
        <v>20</v>
      </c>
      <c r="D1151" s="2">
        <f t="shared" si="15"/>
        <v>20</v>
      </c>
      <c r="E1151" t="s">
        <v>7</v>
      </c>
      <c r="G1151" s="1">
        <v>45825</v>
      </c>
    </row>
    <row r="1152" spans="1:7" x14ac:dyDescent="0.3">
      <c r="A1152" t="s">
        <v>212</v>
      </c>
      <c r="B1152">
        <v>0.5</v>
      </c>
      <c r="C1152">
        <v>200</v>
      </c>
      <c r="D1152" s="2">
        <f t="shared" si="15"/>
        <v>100</v>
      </c>
      <c r="E1152" t="s">
        <v>7</v>
      </c>
      <c r="G1152" s="1">
        <v>45825</v>
      </c>
    </row>
    <row r="1153" spans="1:7" x14ac:dyDescent="0.3">
      <c r="A1153" t="s">
        <v>175</v>
      </c>
      <c r="B1153">
        <v>1</v>
      </c>
      <c r="C1153">
        <v>300</v>
      </c>
      <c r="D1153" s="2">
        <f t="shared" si="15"/>
        <v>300</v>
      </c>
      <c r="E1153" t="s">
        <v>7</v>
      </c>
      <c r="G1153" s="1">
        <v>45827</v>
      </c>
    </row>
    <row r="1154" spans="1:7" x14ac:dyDescent="0.3">
      <c r="A1154" t="s">
        <v>182</v>
      </c>
      <c r="B1154">
        <v>2</v>
      </c>
      <c r="C1154">
        <v>200</v>
      </c>
      <c r="D1154" s="2">
        <f t="shared" si="15"/>
        <v>400</v>
      </c>
      <c r="E1154" t="s">
        <v>7</v>
      </c>
      <c r="G1154" s="1">
        <v>45827</v>
      </c>
    </row>
    <row r="1155" spans="1:7" x14ac:dyDescent="0.3">
      <c r="A1155" t="s">
        <v>166</v>
      </c>
      <c r="B1155">
        <v>1</v>
      </c>
      <c r="C1155">
        <v>60</v>
      </c>
      <c r="D1155" s="2">
        <f t="shared" si="15"/>
        <v>60</v>
      </c>
      <c r="E1155" t="s">
        <v>7</v>
      </c>
      <c r="G1155" s="1">
        <v>45829</v>
      </c>
    </row>
    <row r="1156" spans="1:7" x14ac:dyDescent="0.3">
      <c r="A1156" t="s">
        <v>124</v>
      </c>
      <c r="B1156">
        <v>1</v>
      </c>
      <c r="C1156">
        <v>120</v>
      </c>
      <c r="D1156" s="2">
        <f t="shared" si="15"/>
        <v>120</v>
      </c>
      <c r="E1156" t="s">
        <v>7</v>
      </c>
      <c r="G1156" s="1">
        <v>45829</v>
      </c>
    </row>
    <row r="1157" spans="1:7" x14ac:dyDescent="0.3">
      <c r="A1157" t="s">
        <v>162</v>
      </c>
      <c r="B1157">
        <v>1</v>
      </c>
      <c r="C1157">
        <v>20</v>
      </c>
      <c r="D1157" s="2">
        <f t="shared" si="15"/>
        <v>20</v>
      </c>
      <c r="E1157" t="s">
        <v>7</v>
      </c>
      <c r="G1157" s="1">
        <v>45829</v>
      </c>
    </row>
    <row r="1158" spans="1:7" x14ac:dyDescent="0.3">
      <c r="A1158" t="s">
        <v>184</v>
      </c>
      <c r="B1158">
        <v>6</v>
      </c>
      <c r="C1158">
        <v>35</v>
      </c>
      <c r="D1158" s="2">
        <f t="shared" si="15"/>
        <v>210</v>
      </c>
      <c r="E1158" t="s">
        <v>7</v>
      </c>
      <c r="G1158" s="1">
        <v>45830</v>
      </c>
    </row>
    <row r="1159" spans="1:7" x14ac:dyDescent="0.3">
      <c r="A1159" t="s">
        <v>212</v>
      </c>
      <c r="B1159">
        <v>0.5</v>
      </c>
      <c r="C1159">
        <v>200</v>
      </c>
      <c r="D1159" s="2">
        <f t="shared" si="15"/>
        <v>100</v>
      </c>
      <c r="E1159" t="s">
        <v>7</v>
      </c>
      <c r="G1159" s="1">
        <v>45830</v>
      </c>
    </row>
    <row r="1160" spans="1:7" x14ac:dyDescent="0.3">
      <c r="A1160" t="s">
        <v>174</v>
      </c>
      <c r="B1160">
        <v>0.6</v>
      </c>
      <c r="C1160">
        <v>750</v>
      </c>
      <c r="D1160" s="2">
        <f t="shared" si="15"/>
        <v>450</v>
      </c>
      <c r="E1160" t="s">
        <v>7</v>
      </c>
      <c r="G1160" s="1">
        <v>45831</v>
      </c>
    </row>
    <row r="1161" spans="1:7" x14ac:dyDescent="0.3">
      <c r="A1161" t="s">
        <v>169</v>
      </c>
      <c r="B1161">
        <v>1</v>
      </c>
      <c r="C1161">
        <v>120</v>
      </c>
      <c r="D1161" s="2">
        <f t="shared" si="15"/>
        <v>120</v>
      </c>
      <c r="E1161" s="10" t="s">
        <v>7</v>
      </c>
      <c r="G1161" s="1">
        <v>45831</v>
      </c>
    </row>
    <row r="1162" spans="1:7" x14ac:dyDescent="0.3">
      <c r="A1162" t="s">
        <v>166</v>
      </c>
      <c r="B1162">
        <v>1</v>
      </c>
      <c r="C1162">
        <v>60</v>
      </c>
      <c r="D1162" s="2">
        <f t="shared" si="15"/>
        <v>60</v>
      </c>
      <c r="E1162" s="10" t="s">
        <v>7</v>
      </c>
      <c r="G1162" s="1">
        <v>45831</v>
      </c>
    </row>
    <row r="1163" spans="1:7" x14ac:dyDescent="0.3">
      <c r="A1163" t="s">
        <v>162</v>
      </c>
      <c r="B1163">
        <v>1</v>
      </c>
      <c r="C1163">
        <v>20</v>
      </c>
      <c r="D1163" s="2">
        <f t="shared" si="15"/>
        <v>20</v>
      </c>
      <c r="E1163" s="10" t="s">
        <v>7</v>
      </c>
      <c r="G1163" s="1">
        <v>45831</v>
      </c>
    </row>
    <row r="1164" spans="1:7" x14ac:dyDescent="0.3">
      <c r="A1164" t="s">
        <v>212</v>
      </c>
      <c r="B1164">
        <v>0.5</v>
      </c>
      <c r="C1164">
        <v>200</v>
      </c>
      <c r="D1164" s="2">
        <f t="shared" si="15"/>
        <v>100</v>
      </c>
      <c r="E1164" s="10" t="s">
        <v>7</v>
      </c>
      <c r="G1164" s="1">
        <v>45832</v>
      </c>
    </row>
    <row r="1165" spans="1:7" x14ac:dyDescent="0.3">
      <c r="A1165" t="s">
        <v>182</v>
      </c>
      <c r="B1165">
        <v>2</v>
      </c>
      <c r="C1165">
        <v>220</v>
      </c>
      <c r="D1165" s="2">
        <f t="shared" si="15"/>
        <v>440</v>
      </c>
      <c r="E1165" s="10" t="s">
        <v>7</v>
      </c>
      <c r="G1165" s="1">
        <v>45832</v>
      </c>
    </row>
    <row r="1166" spans="1:7" x14ac:dyDescent="0.3">
      <c r="A1166" t="s">
        <v>162</v>
      </c>
      <c r="B1166">
        <v>1</v>
      </c>
      <c r="C1166">
        <v>20</v>
      </c>
      <c r="D1166" s="2">
        <f t="shared" si="15"/>
        <v>20</v>
      </c>
      <c r="E1166" s="10" t="s">
        <v>7</v>
      </c>
      <c r="G1166" s="1">
        <v>45832</v>
      </c>
    </row>
    <row r="1167" spans="1:7" x14ac:dyDescent="0.3">
      <c r="A1167" t="s">
        <v>166</v>
      </c>
      <c r="B1167">
        <v>1</v>
      </c>
      <c r="C1167">
        <v>60</v>
      </c>
      <c r="D1167" s="2">
        <f t="shared" si="15"/>
        <v>60</v>
      </c>
      <c r="E1167" s="10" t="s">
        <v>7</v>
      </c>
      <c r="G1167" s="1">
        <v>45833</v>
      </c>
    </row>
    <row r="1168" spans="1:7" x14ac:dyDescent="0.3">
      <c r="A1168" t="s">
        <v>212</v>
      </c>
      <c r="B1168">
        <v>1</v>
      </c>
      <c r="C1168">
        <v>200</v>
      </c>
      <c r="D1168" s="2">
        <f t="shared" si="15"/>
        <v>200</v>
      </c>
      <c r="E1168" s="10" t="s">
        <v>7</v>
      </c>
      <c r="G1168" s="1">
        <v>45833</v>
      </c>
    </row>
    <row r="1169" spans="1:7" x14ac:dyDescent="0.3">
      <c r="A1169" t="s">
        <v>226</v>
      </c>
      <c r="B1169">
        <v>1</v>
      </c>
      <c r="C1169">
        <v>300</v>
      </c>
      <c r="D1169" s="2">
        <f t="shared" si="15"/>
        <v>300</v>
      </c>
      <c r="E1169" s="10" t="s">
        <v>7</v>
      </c>
      <c r="G1169" s="1">
        <v>45834</v>
      </c>
    </row>
    <row r="1170" spans="1:7" x14ac:dyDescent="0.3">
      <c r="A1170" t="s">
        <v>182</v>
      </c>
      <c r="B1170">
        <v>1</v>
      </c>
      <c r="C1170">
        <v>200</v>
      </c>
      <c r="D1170" s="2">
        <f t="shared" si="15"/>
        <v>200</v>
      </c>
      <c r="E1170" s="10" t="s">
        <v>7</v>
      </c>
      <c r="G1170" s="1">
        <v>45834</v>
      </c>
    </row>
    <row r="1171" spans="1:7" x14ac:dyDescent="0.3">
      <c r="A1171" t="s">
        <v>160</v>
      </c>
      <c r="B1171">
        <v>0.25</v>
      </c>
      <c r="C1171">
        <v>240</v>
      </c>
      <c r="D1171" s="2">
        <f t="shared" si="15"/>
        <v>60</v>
      </c>
      <c r="E1171" s="10" t="s">
        <v>7</v>
      </c>
      <c r="G1171" s="1">
        <v>45834</v>
      </c>
    </row>
    <row r="1172" spans="1:7" x14ac:dyDescent="0.3">
      <c r="A1172" t="s">
        <v>161</v>
      </c>
      <c r="B1172">
        <v>0.25</v>
      </c>
      <c r="C1172">
        <v>240</v>
      </c>
      <c r="D1172" s="2">
        <f t="shared" si="15"/>
        <v>60</v>
      </c>
      <c r="E1172" s="10" t="s">
        <v>7</v>
      </c>
      <c r="G1172" s="1">
        <v>45834</v>
      </c>
    </row>
    <row r="1173" spans="1:7" x14ac:dyDescent="0.3">
      <c r="A1173" t="s">
        <v>124</v>
      </c>
      <c r="B1173">
        <v>1</v>
      </c>
      <c r="C1173">
        <v>120</v>
      </c>
      <c r="D1173" s="2">
        <f t="shared" si="15"/>
        <v>120</v>
      </c>
      <c r="E1173" s="10" t="s">
        <v>7</v>
      </c>
      <c r="G1173" s="1">
        <v>45834</v>
      </c>
    </row>
    <row r="1174" spans="1:7" x14ac:dyDescent="0.3">
      <c r="A1174" t="s">
        <v>174</v>
      </c>
      <c r="B1174">
        <v>0.3</v>
      </c>
      <c r="C1174">
        <v>700</v>
      </c>
      <c r="D1174" s="2">
        <f t="shared" si="15"/>
        <v>210</v>
      </c>
      <c r="E1174" s="10" t="s">
        <v>7</v>
      </c>
      <c r="G1174" s="1">
        <v>45835</v>
      </c>
    </row>
    <row r="1175" spans="1:7" x14ac:dyDescent="0.3">
      <c r="A1175" t="s">
        <v>212</v>
      </c>
      <c r="B1175">
        <v>0.5</v>
      </c>
      <c r="C1175">
        <v>200</v>
      </c>
      <c r="D1175" s="2">
        <f t="shared" si="15"/>
        <v>100</v>
      </c>
      <c r="E1175" s="10" t="s">
        <v>7</v>
      </c>
      <c r="G1175" s="1">
        <v>45835</v>
      </c>
    </row>
    <row r="1176" spans="1:7" x14ac:dyDescent="0.3">
      <c r="A1176" t="s">
        <v>124</v>
      </c>
      <c r="B1176">
        <v>1</v>
      </c>
      <c r="C1176">
        <v>120</v>
      </c>
      <c r="D1176" s="2">
        <f t="shared" si="15"/>
        <v>120</v>
      </c>
      <c r="E1176" s="10" t="s">
        <v>7</v>
      </c>
      <c r="G1176" s="1">
        <v>45835</v>
      </c>
    </row>
    <row r="1177" spans="1:7" x14ac:dyDescent="0.3">
      <c r="A1177" t="s">
        <v>166</v>
      </c>
      <c r="B1177">
        <v>2</v>
      </c>
      <c r="C1177">
        <v>60</v>
      </c>
      <c r="D1177" s="2">
        <f t="shared" si="15"/>
        <v>120</v>
      </c>
      <c r="E1177" s="10" t="s">
        <v>7</v>
      </c>
      <c r="G1177" s="1">
        <v>45835</v>
      </c>
    </row>
    <row r="1178" spans="1:7" x14ac:dyDescent="0.3">
      <c r="A1178" t="s">
        <v>182</v>
      </c>
      <c r="B1178">
        <v>3</v>
      </c>
      <c r="C1178">
        <v>233</v>
      </c>
      <c r="D1178" s="2">
        <f t="shared" si="15"/>
        <v>699</v>
      </c>
      <c r="E1178" s="10" t="s">
        <v>7</v>
      </c>
      <c r="G1178" s="1">
        <v>45835</v>
      </c>
    </row>
    <row r="1179" spans="1:7" x14ac:dyDescent="0.3">
      <c r="A1179" t="s">
        <v>160</v>
      </c>
      <c r="B1179">
        <v>0.125</v>
      </c>
      <c r="C1179">
        <v>240</v>
      </c>
      <c r="D1179" s="2">
        <f t="shared" si="15"/>
        <v>30</v>
      </c>
      <c r="E1179" s="10" t="s">
        <v>7</v>
      </c>
      <c r="G1179" s="1">
        <v>45835</v>
      </c>
    </row>
    <row r="1180" spans="1:7" x14ac:dyDescent="0.3">
      <c r="A1180" t="s">
        <v>161</v>
      </c>
      <c r="B1180">
        <v>0.125</v>
      </c>
      <c r="C1180">
        <v>240</v>
      </c>
      <c r="D1180" s="2">
        <f t="shared" si="15"/>
        <v>30</v>
      </c>
      <c r="E1180" s="10" t="s">
        <v>7</v>
      </c>
      <c r="G1180" s="1">
        <v>45835</v>
      </c>
    </row>
    <row r="1181" spans="1:7" x14ac:dyDescent="0.3">
      <c r="A1181" t="s">
        <v>151</v>
      </c>
      <c r="B1181">
        <v>1</v>
      </c>
      <c r="C1181">
        <v>230</v>
      </c>
      <c r="D1181" s="2">
        <f t="shared" si="15"/>
        <v>230</v>
      </c>
      <c r="E1181" s="10" t="s">
        <v>7</v>
      </c>
      <c r="G1181" s="1">
        <v>45836</v>
      </c>
    </row>
    <row r="1182" spans="1:7" x14ac:dyDescent="0.3">
      <c r="A1182" t="s">
        <v>162</v>
      </c>
      <c r="B1182">
        <v>1</v>
      </c>
      <c r="C1182">
        <v>20</v>
      </c>
      <c r="D1182" s="2">
        <f t="shared" si="15"/>
        <v>20</v>
      </c>
      <c r="E1182" s="10" t="s">
        <v>7</v>
      </c>
      <c r="G1182" s="1">
        <v>45836</v>
      </c>
    </row>
    <row r="1183" spans="1:7" x14ac:dyDescent="0.3">
      <c r="A1183" s="9" t="s">
        <v>166</v>
      </c>
      <c r="B1183" s="10">
        <v>2</v>
      </c>
      <c r="C1183" s="10">
        <v>60</v>
      </c>
      <c r="D1183" s="2">
        <f t="shared" si="15"/>
        <v>120</v>
      </c>
      <c r="E1183" s="10" t="s">
        <v>7</v>
      </c>
      <c r="F1183" s="10"/>
      <c r="G1183" s="8">
        <v>45838</v>
      </c>
    </row>
    <row r="1184" spans="1:7" x14ac:dyDescent="0.3">
      <c r="A1184" s="9" t="s">
        <v>169</v>
      </c>
      <c r="B1184" s="10">
        <v>1</v>
      </c>
      <c r="C1184" s="10">
        <v>120</v>
      </c>
      <c r="D1184" s="2">
        <f t="shared" si="15"/>
        <v>120</v>
      </c>
      <c r="E1184" s="10" t="s">
        <v>7</v>
      </c>
      <c r="F1184" s="10"/>
      <c r="G1184" s="8">
        <v>45838</v>
      </c>
    </row>
    <row r="1185" spans="1:7" x14ac:dyDescent="0.3">
      <c r="A1185" s="9" t="s">
        <v>175</v>
      </c>
      <c r="B1185" s="10">
        <v>3</v>
      </c>
      <c r="C1185" s="10">
        <v>350</v>
      </c>
      <c r="D1185" s="2">
        <f t="shared" si="15"/>
        <v>1050</v>
      </c>
      <c r="E1185" s="10" t="s">
        <v>7</v>
      </c>
      <c r="F1185" s="10"/>
      <c r="G1185" s="8">
        <v>45838</v>
      </c>
    </row>
    <row r="1186" spans="1:7" x14ac:dyDescent="0.3">
      <c r="A1186" s="9" t="s">
        <v>164</v>
      </c>
      <c r="B1186" s="10">
        <v>1</v>
      </c>
      <c r="C1186" s="10">
        <v>60</v>
      </c>
      <c r="D1186" s="2">
        <f t="shared" si="15"/>
        <v>60</v>
      </c>
      <c r="E1186" s="10" t="s">
        <v>7</v>
      </c>
      <c r="F1186" s="10"/>
      <c r="G1186" s="8">
        <v>45838</v>
      </c>
    </row>
    <row r="1187" spans="1:7" x14ac:dyDescent="0.3">
      <c r="A1187" s="9" t="s">
        <v>180</v>
      </c>
      <c r="B1187" s="10">
        <v>1</v>
      </c>
      <c r="C1187" s="10">
        <v>250</v>
      </c>
      <c r="D1187" s="2">
        <f t="shared" si="15"/>
        <v>250</v>
      </c>
      <c r="E1187" s="10" t="s">
        <v>7</v>
      </c>
      <c r="F1187" s="10"/>
      <c r="G1187" s="8">
        <v>45838</v>
      </c>
    </row>
    <row r="1188" spans="1:7" x14ac:dyDescent="0.3">
      <c r="A1188" s="9" t="s">
        <v>124</v>
      </c>
      <c r="B1188" s="10">
        <v>1</v>
      </c>
      <c r="C1188" s="10">
        <v>120</v>
      </c>
      <c r="D1188" s="2">
        <f t="shared" si="15"/>
        <v>120</v>
      </c>
      <c r="E1188" s="10" t="s">
        <v>7</v>
      </c>
      <c r="F1188" s="10"/>
      <c r="G1188" s="8">
        <v>45838</v>
      </c>
    </row>
    <row r="1189" spans="1:7" x14ac:dyDescent="0.3">
      <c r="A1189" t="s">
        <v>162</v>
      </c>
      <c r="B1189">
        <v>1</v>
      </c>
      <c r="C1189">
        <v>20</v>
      </c>
      <c r="D1189" s="2">
        <f t="shared" si="15"/>
        <v>20</v>
      </c>
      <c r="E1189" s="10" t="s">
        <v>7</v>
      </c>
      <c r="G1189" s="8">
        <v>45839</v>
      </c>
    </row>
    <row r="1190" spans="1:7" x14ac:dyDescent="0.3">
      <c r="A1190" t="s">
        <v>212</v>
      </c>
      <c r="B1190">
        <v>0.5</v>
      </c>
      <c r="C1190">
        <v>200</v>
      </c>
      <c r="D1190" s="2">
        <f t="shared" si="15"/>
        <v>100</v>
      </c>
      <c r="E1190" s="10" t="s">
        <v>7</v>
      </c>
      <c r="G1190" s="8">
        <v>45839</v>
      </c>
    </row>
    <row r="1191" spans="1:7" x14ac:dyDescent="0.3">
      <c r="A1191" t="s">
        <v>160</v>
      </c>
      <c r="B1191">
        <v>0.25</v>
      </c>
      <c r="C1191">
        <v>200</v>
      </c>
      <c r="D1191" s="2">
        <f t="shared" si="15"/>
        <v>50</v>
      </c>
      <c r="E1191" s="10" t="s">
        <v>7</v>
      </c>
      <c r="G1191" s="8">
        <v>45839</v>
      </c>
    </row>
    <row r="1192" spans="1:7" x14ac:dyDescent="0.3">
      <c r="A1192" t="s">
        <v>176</v>
      </c>
      <c r="B1192">
        <v>0.2</v>
      </c>
      <c r="C1192">
        <v>500</v>
      </c>
      <c r="D1192" s="2">
        <f t="shared" si="15"/>
        <v>100</v>
      </c>
      <c r="E1192" s="10" t="s">
        <v>7</v>
      </c>
      <c r="G1192" s="8">
        <v>45839</v>
      </c>
    </row>
    <row r="1193" spans="1:7" x14ac:dyDescent="0.3">
      <c r="A1193" t="s">
        <v>162</v>
      </c>
      <c r="B1193">
        <v>1</v>
      </c>
      <c r="C1193">
        <v>20</v>
      </c>
      <c r="D1193" s="2">
        <f t="shared" si="15"/>
        <v>20</v>
      </c>
      <c r="E1193" s="10" t="s">
        <v>7</v>
      </c>
      <c r="G1193" s="8">
        <v>45839</v>
      </c>
    </row>
    <row r="1194" spans="1:7" x14ac:dyDescent="0.3">
      <c r="A1194" t="s">
        <v>169</v>
      </c>
      <c r="B1194">
        <v>1</v>
      </c>
      <c r="C1194">
        <v>100</v>
      </c>
      <c r="D1194" s="2">
        <f t="shared" ref="D1194:D1249" si="16">B1194*C1194</f>
        <v>100</v>
      </c>
      <c r="E1194" s="10" t="s">
        <v>7</v>
      </c>
      <c r="G1194" s="8">
        <v>45840</v>
      </c>
    </row>
    <row r="1195" spans="1:7" x14ac:dyDescent="0.3">
      <c r="A1195" t="s">
        <v>166</v>
      </c>
      <c r="B1195">
        <v>1</v>
      </c>
      <c r="C1195">
        <v>60</v>
      </c>
      <c r="D1195" s="2">
        <f t="shared" si="16"/>
        <v>60</v>
      </c>
      <c r="E1195" s="10" t="s">
        <v>7</v>
      </c>
      <c r="G1195" s="8">
        <v>45840</v>
      </c>
    </row>
    <row r="1196" spans="1:7" x14ac:dyDescent="0.3">
      <c r="A1196" t="s">
        <v>182</v>
      </c>
      <c r="B1196">
        <v>1</v>
      </c>
      <c r="C1196">
        <v>220</v>
      </c>
      <c r="D1196" s="2">
        <f t="shared" si="16"/>
        <v>220</v>
      </c>
      <c r="E1196" s="10" t="s">
        <v>7</v>
      </c>
      <c r="G1196" s="8">
        <v>45840</v>
      </c>
    </row>
    <row r="1197" spans="1:7" x14ac:dyDescent="0.3">
      <c r="A1197" t="s">
        <v>182</v>
      </c>
      <c r="B1197">
        <v>4</v>
      </c>
      <c r="C1197">
        <v>200</v>
      </c>
      <c r="D1197" s="2">
        <f t="shared" si="16"/>
        <v>800</v>
      </c>
      <c r="E1197" s="10" t="s">
        <v>7</v>
      </c>
      <c r="G1197" s="8">
        <v>45840</v>
      </c>
    </row>
    <row r="1198" spans="1:7" x14ac:dyDescent="0.3">
      <c r="A1198" t="s">
        <v>171</v>
      </c>
      <c r="B1198">
        <v>1</v>
      </c>
      <c r="C1198">
        <v>120</v>
      </c>
      <c r="D1198" s="2">
        <f t="shared" si="16"/>
        <v>120</v>
      </c>
      <c r="E1198" s="10" t="s">
        <v>7</v>
      </c>
      <c r="G1198" s="8">
        <v>45841</v>
      </c>
    </row>
    <row r="1199" spans="1:7" x14ac:dyDescent="0.3">
      <c r="A1199" t="s">
        <v>225</v>
      </c>
      <c r="B1199">
        <v>1</v>
      </c>
      <c r="C1199">
        <v>50</v>
      </c>
      <c r="D1199" s="2">
        <f t="shared" si="16"/>
        <v>50</v>
      </c>
      <c r="E1199" s="10" t="s">
        <v>7</v>
      </c>
      <c r="G1199" s="8">
        <v>45842</v>
      </c>
    </row>
    <row r="1200" spans="1:7" x14ac:dyDescent="0.3">
      <c r="A1200" t="s">
        <v>175</v>
      </c>
      <c r="B1200">
        <v>2</v>
      </c>
      <c r="C1200">
        <v>350</v>
      </c>
      <c r="D1200" s="2">
        <f t="shared" si="16"/>
        <v>700</v>
      </c>
      <c r="E1200" t="s">
        <v>153</v>
      </c>
      <c r="G1200" s="8">
        <v>45843</v>
      </c>
    </row>
    <row r="1201" spans="1:7" x14ac:dyDescent="0.3">
      <c r="A1201" t="s">
        <v>179</v>
      </c>
      <c r="B1201">
        <v>3</v>
      </c>
      <c r="C1201">
        <v>350</v>
      </c>
      <c r="D1201" s="2">
        <f t="shared" si="16"/>
        <v>1050</v>
      </c>
      <c r="E1201" t="s">
        <v>153</v>
      </c>
      <c r="G1201" s="8">
        <v>45843</v>
      </c>
    </row>
    <row r="1202" spans="1:7" x14ac:dyDescent="0.3">
      <c r="A1202" t="s">
        <v>65</v>
      </c>
      <c r="B1202">
        <v>3</v>
      </c>
      <c r="C1202">
        <v>350</v>
      </c>
      <c r="D1202" s="2">
        <f t="shared" si="16"/>
        <v>1050</v>
      </c>
      <c r="E1202" t="s">
        <v>153</v>
      </c>
      <c r="G1202" s="8">
        <v>45843</v>
      </c>
    </row>
    <row r="1203" spans="1:7" x14ac:dyDescent="0.3">
      <c r="A1203" t="s">
        <v>175</v>
      </c>
      <c r="B1203">
        <v>1</v>
      </c>
      <c r="C1203">
        <v>300</v>
      </c>
      <c r="D1203" s="2">
        <f t="shared" si="16"/>
        <v>300</v>
      </c>
      <c r="E1203" s="10" t="s">
        <v>7</v>
      </c>
      <c r="G1203" s="8">
        <v>45843</v>
      </c>
    </row>
    <row r="1204" spans="1:7" x14ac:dyDescent="0.3">
      <c r="A1204" t="s">
        <v>165</v>
      </c>
      <c r="B1204">
        <v>0.17</v>
      </c>
      <c r="C1204">
        <v>200</v>
      </c>
      <c r="D1204" s="2">
        <f t="shared" si="16"/>
        <v>34</v>
      </c>
      <c r="E1204" s="10" t="s">
        <v>7</v>
      </c>
      <c r="G1204" s="8">
        <v>45843</v>
      </c>
    </row>
    <row r="1205" spans="1:7" x14ac:dyDescent="0.3">
      <c r="A1205" t="s">
        <v>178</v>
      </c>
      <c r="B1205">
        <v>1</v>
      </c>
      <c r="C1205">
        <v>165</v>
      </c>
      <c r="D1205" s="2">
        <f t="shared" si="16"/>
        <v>165</v>
      </c>
      <c r="E1205" s="10" t="s">
        <v>7</v>
      </c>
      <c r="G1205" s="8">
        <v>45843</v>
      </c>
    </row>
    <row r="1206" spans="1:7" x14ac:dyDescent="0.3">
      <c r="A1206" t="s">
        <v>179</v>
      </c>
      <c r="B1206">
        <v>0.04</v>
      </c>
      <c r="C1206">
        <v>1000</v>
      </c>
      <c r="D1206" s="2">
        <f t="shared" si="16"/>
        <v>40</v>
      </c>
      <c r="E1206" s="10" t="s">
        <v>7</v>
      </c>
      <c r="G1206" s="8">
        <v>45844</v>
      </c>
    </row>
    <row r="1207" spans="1:7" x14ac:dyDescent="0.3">
      <c r="A1207" t="s">
        <v>212</v>
      </c>
      <c r="B1207">
        <v>0.5</v>
      </c>
      <c r="C1207">
        <v>200</v>
      </c>
      <c r="D1207" s="2">
        <f t="shared" si="16"/>
        <v>100</v>
      </c>
      <c r="E1207" s="10" t="s">
        <v>7</v>
      </c>
      <c r="G1207" s="8">
        <v>45844</v>
      </c>
    </row>
    <row r="1208" spans="1:7" x14ac:dyDescent="0.3">
      <c r="A1208" t="s">
        <v>162</v>
      </c>
      <c r="B1208">
        <v>2</v>
      </c>
      <c r="C1208">
        <v>20</v>
      </c>
      <c r="D1208" s="2">
        <f t="shared" si="16"/>
        <v>40</v>
      </c>
      <c r="E1208" s="10" t="s">
        <v>7</v>
      </c>
      <c r="G1208" s="8">
        <v>45845</v>
      </c>
    </row>
    <row r="1209" spans="1:7" x14ac:dyDescent="0.3">
      <c r="A1209" t="s">
        <v>179</v>
      </c>
      <c r="B1209">
        <v>0.15</v>
      </c>
      <c r="C1209">
        <v>800</v>
      </c>
      <c r="D1209" s="2">
        <f>B1209*C1209</f>
        <v>120</v>
      </c>
      <c r="E1209" s="10" t="s">
        <v>7</v>
      </c>
      <c r="G1209" s="8">
        <v>45846</v>
      </c>
    </row>
    <row r="1210" spans="1:7" x14ac:dyDescent="0.3">
      <c r="A1210" t="s">
        <v>164</v>
      </c>
      <c r="B1210">
        <v>1</v>
      </c>
      <c r="C1210">
        <v>60</v>
      </c>
      <c r="D1210" s="2">
        <f>B1210*C1210</f>
        <v>60</v>
      </c>
      <c r="E1210" s="10" t="s">
        <v>7</v>
      </c>
      <c r="G1210" s="8">
        <v>45846</v>
      </c>
    </row>
    <row r="1211" spans="1:7" x14ac:dyDescent="0.3">
      <c r="A1211" t="s">
        <v>162</v>
      </c>
      <c r="B1211">
        <v>1</v>
      </c>
      <c r="C1211">
        <v>20</v>
      </c>
      <c r="D1211" s="2">
        <f t="shared" si="16"/>
        <v>20</v>
      </c>
      <c r="E1211" s="10" t="s">
        <v>7</v>
      </c>
      <c r="G1211" s="8">
        <v>45846</v>
      </c>
    </row>
    <row r="1212" spans="1:7" x14ac:dyDescent="0.3">
      <c r="A1212" t="s">
        <v>212</v>
      </c>
      <c r="B1212">
        <v>0.5</v>
      </c>
      <c r="C1212">
        <v>200</v>
      </c>
      <c r="D1212" s="2">
        <f t="shared" si="16"/>
        <v>100</v>
      </c>
      <c r="E1212" s="10" t="s">
        <v>7</v>
      </c>
      <c r="G1212" s="8">
        <v>45847</v>
      </c>
    </row>
    <row r="1213" spans="1:7" x14ac:dyDescent="0.3">
      <c r="A1213" t="s">
        <v>212</v>
      </c>
      <c r="B1213">
        <v>0.5</v>
      </c>
      <c r="C1213">
        <v>200</v>
      </c>
      <c r="D1213" s="2">
        <f t="shared" si="16"/>
        <v>100</v>
      </c>
      <c r="E1213" s="10" t="s">
        <v>7</v>
      </c>
      <c r="G1213" s="8">
        <v>45848</v>
      </c>
    </row>
    <row r="1214" spans="1:7" x14ac:dyDescent="0.3">
      <c r="A1214" t="s">
        <v>164</v>
      </c>
      <c r="B1214">
        <v>2</v>
      </c>
      <c r="C1214">
        <v>60</v>
      </c>
      <c r="D1214" s="2">
        <f t="shared" si="16"/>
        <v>120</v>
      </c>
      <c r="E1214" s="10" t="s">
        <v>7</v>
      </c>
      <c r="G1214" s="8">
        <v>45848</v>
      </c>
    </row>
    <row r="1215" spans="1:7" x14ac:dyDescent="0.3">
      <c r="A1215" t="s">
        <v>162</v>
      </c>
      <c r="B1215">
        <v>3</v>
      </c>
      <c r="C1215">
        <v>20</v>
      </c>
      <c r="D1215" s="2">
        <f t="shared" si="16"/>
        <v>60</v>
      </c>
      <c r="E1215" s="10" t="s">
        <v>7</v>
      </c>
      <c r="G1215" s="8">
        <v>45850</v>
      </c>
    </row>
    <row r="1216" spans="1:7" x14ac:dyDescent="0.3">
      <c r="A1216" t="s">
        <v>178</v>
      </c>
      <c r="B1216">
        <v>1</v>
      </c>
      <c r="C1216">
        <v>170</v>
      </c>
      <c r="D1216" s="2">
        <f t="shared" si="16"/>
        <v>170</v>
      </c>
      <c r="E1216" s="10" t="s">
        <v>7</v>
      </c>
      <c r="G1216" s="8">
        <v>45850</v>
      </c>
    </row>
    <row r="1217" spans="1:7" x14ac:dyDescent="0.3">
      <c r="A1217" t="s">
        <v>171</v>
      </c>
      <c r="B1217">
        <v>1</v>
      </c>
      <c r="C1217">
        <v>100</v>
      </c>
      <c r="D1217" s="2">
        <f t="shared" si="16"/>
        <v>100</v>
      </c>
      <c r="E1217" s="10" t="s">
        <v>7</v>
      </c>
      <c r="G1217" s="8">
        <v>45850</v>
      </c>
    </row>
    <row r="1218" spans="1:7" x14ac:dyDescent="0.3">
      <c r="A1218" t="s">
        <v>176</v>
      </c>
      <c r="B1218">
        <v>0.2</v>
      </c>
      <c r="C1218">
        <v>500</v>
      </c>
      <c r="D1218" s="2">
        <f t="shared" si="16"/>
        <v>100</v>
      </c>
      <c r="E1218" s="10" t="s">
        <v>7</v>
      </c>
      <c r="G1218" s="8">
        <v>45850</v>
      </c>
    </row>
    <row r="1219" spans="1:7" x14ac:dyDescent="0.3">
      <c r="A1219" t="s">
        <v>160</v>
      </c>
      <c r="B1219">
        <v>0.9</v>
      </c>
      <c r="C1219">
        <v>220</v>
      </c>
      <c r="D1219" s="2">
        <f t="shared" si="16"/>
        <v>198</v>
      </c>
      <c r="E1219" s="10" t="s">
        <v>7</v>
      </c>
      <c r="G1219" s="8">
        <v>45850</v>
      </c>
    </row>
    <row r="1220" spans="1:7" x14ac:dyDescent="0.3">
      <c r="A1220" t="s">
        <v>161</v>
      </c>
      <c r="B1220">
        <v>0.3</v>
      </c>
      <c r="C1220">
        <v>220</v>
      </c>
      <c r="D1220" s="2">
        <f t="shared" si="16"/>
        <v>66</v>
      </c>
      <c r="E1220" s="10" t="s">
        <v>7</v>
      </c>
      <c r="G1220" s="8">
        <v>45850</v>
      </c>
    </row>
    <row r="1221" spans="1:7" x14ac:dyDescent="0.3">
      <c r="A1221" t="s">
        <v>212</v>
      </c>
      <c r="B1221">
        <v>1</v>
      </c>
      <c r="C1221">
        <v>200</v>
      </c>
      <c r="D1221" s="2">
        <f t="shared" si="16"/>
        <v>200</v>
      </c>
      <c r="E1221" s="10" t="s">
        <v>7</v>
      </c>
      <c r="G1221" s="8">
        <v>45850</v>
      </c>
    </row>
    <row r="1222" spans="1:7" x14ac:dyDescent="0.3">
      <c r="A1222" t="s">
        <v>176</v>
      </c>
      <c r="B1222">
        <v>0.2</v>
      </c>
      <c r="C1222">
        <v>600</v>
      </c>
      <c r="D1222" s="2">
        <f>B1222*C1222</f>
        <v>120</v>
      </c>
      <c r="E1222" s="10" t="s">
        <v>7</v>
      </c>
      <c r="G1222" s="8">
        <v>45851</v>
      </c>
    </row>
    <row r="1223" spans="1:7" x14ac:dyDescent="0.3">
      <c r="A1223" t="s">
        <v>162</v>
      </c>
      <c r="B1223">
        <v>1</v>
      </c>
      <c r="C1223">
        <v>20</v>
      </c>
      <c r="D1223" s="2">
        <f>B1223*C1223</f>
        <v>20</v>
      </c>
      <c r="E1223" s="10" t="s">
        <v>7</v>
      </c>
      <c r="G1223" s="8">
        <v>45851</v>
      </c>
    </row>
    <row r="1224" spans="1:7" x14ac:dyDescent="0.3">
      <c r="A1224" t="s">
        <v>212</v>
      </c>
      <c r="B1224">
        <v>0.5</v>
      </c>
      <c r="C1224">
        <v>200</v>
      </c>
      <c r="D1224" s="2">
        <f>B1224*C1224</f>
        <v>100</v>
      </c>
      <c r="E1224" s="10" t="s">
        <v>7</v>
      </c>
      <c r="G1224" s="8">
        <v>45851</v>
      </c>
    </row>
    <row r="1225" spans="1:7" x14ac:dyDescent="0.3">
      <c r="A1225" t="s">
        <v>177</v>
      </c>
      <c r="B1225">
        <v>1</v>
      </c>
      <c r="C1225">
        <v>230</v>
      </c>
      <c r="D1225" s="2">
        <f t="shared" si="16"/>
        <v>230</v>
      </c>
      <c r="E1225" s="10" t="s">
        <v>7</v>
      </c>
      <c r="G1225" s="8">
        <v>45852</v>
      </c>
    </row>
    <row r="1226" spans="1:7" x14ac:dyDescent="0.3">
      <c r="A1226" t="s">
        <v>176</v>
      </c>
      <c r="B1226">
        <v>0.2</v>
      </c>
      <c r="C1226">
        <v>500</v>
      </c>
      <c r="D1226" s="2">
        <f>B1226*C1226</f>
        <v>100</v>
      </c>
      <c r="E1226" s="10" t="s">
        <v>7</v>
      </c>
      <c r="G1226" s="8">
        <v>45853</v>
      </c>
    </row>
    <row r="1227" spans="1:7" x14ac:dyDescent="0.3">
      <c r="A1227" t="s">
        <v>162</v>
      </c>
      <c r="B1227">
        <v>2</v>
      </c>
      <c r="C1227">
        <v>17</v>
      </c>
      <c r="D1227" s="2">
        <f>B1227*C1227</f>
        <v>34</v>
      </c>
      <c r="E1227" s="10" t="s">
        <v>7</v>
      </c>
      <c r="G1227" s="8">
        <v>45853</v>
      </c>
    </row>
    <row r="1228" spans="1:7" x14ac:dyDescent="0.3">
      <c r="A1228" t="s">
        <v>171</v>
      </c>
      <c r="B1228">
        <v>1</v>
      </c>
      <c r="C1228">
        <v>100</v>
      </c>
      <c r="D1228" s="2">
        <f>B1228*C1228</f>
        <v>100</v>
      </c>
      <c r="E1228" s="10" t="s">
        <v>7</v>
      </c>
      <c r="G1228" s="8">
        <v>45853</v>
      </c>
    </row>
    <row r="1229" spans="1:7" x14ac:dyDescent="0.3">
      <c r="A1229" t="s">
        <v>160</v>
      </c>
      <c r="B1229">
        <v>0.14000000000000001</v>
      </c>
      <c r="C1229">
        <v>215</v>
      </c>
      <c r="D1229" s="2">
        <f>B1229*C1229</f>
        <v>30.1</v>
      </c>
      <c r="E1229" s="10" t="s">
        <v>7</v>
      </c>
      <c r="G1229" s="8">
        <v>45853</v>
      </c>
    </row>
    <row r="1230" spans="1:7" x14ac:dyDescent="0.3">
      <c r="A1230" t="s">
        <v>161</v>
      </c>
      <c r="B1230">
        <v>0.14000000000000001</v>
      </c>
      <c r="C1230">
        <v>215</v>
      </c>
      <c r="D1230" s="2">
        <f t="shared" si="16"/>
        <v>30.1</v>
      </c>
      <c r="E1230" s="10" t="s">
        <v>7</v>
      </c>
      <c r="G1230" s="8">
        <v>45853</v>
      </c>
    </row>
    <row r="1231" spans="1:7" x14ac:dyDescent="0.3">
      <c r="A1231" t="s">
        <v>162</v>
      </c>
      <c r="B1231">
        <v>1</v>
      </c>
      <c r="C1231">
        <v>20</v>
      </c>
      <c r="D1231" s="2">
        <f>B1231*C1231</f>
        <v>20</v>
      </c>
      <c r="E1231" s="10" t="s">
        <v>7</v>
      </c>
      <c r="G1231" s="8">
        <v>45854</v>
      </c>
    </row>
    <row r="1232" spans="1:7" x14ac:dyDescent="0.3">
      <c r="A1232" t="s">
        <v>164</v>
      </c>
      <c r="B1232">
        <v>1</v>
      </c>
      <c r="C1232">
        <v>60</v>
      </c>
      <c r="D1232" s="2">
        <f>B1232*C1232</f>
        <v>60</v>
      </c>
      <c r="E1232" s="10" t="s">
        <v>7</v>
      </c>
      <c r="G1232" s="8">
        <v>45854</v>
      </c>
    </row>
    <row r="1233" spans="1:7" x14ac:dyDescent="0.3">
      <c r="A1233" t="s">
        <v>171</v>
      </c>
      <c r="B1233">
        <v>1</v>
      </c>
      <c r="C1233">
        <v>100</v>
      </c>
      <c r="D1233" s="2">
        <f>B1233*C1233</f>
        <v>100</v>
      </c>
      <c r="E1233" s="10" t="s">
        <v>7</v>
      </c>
      <c r="G1233" s="8">
        <v>45854</v>
      </c>
    </row>
    <row r="1234" spans="1:7" x14ac:dyDescent="0.3">
      <c r="A1234" t="s">
        <v>124</v>
      </c>
      <c r="B1234">
        <v>1</v>
      </c>
      <c r="C1234">
        <v>120</v>
      </c>
      <c r="D1234" s="2">
        <f t="shared" si="16"/>
        <v>120</v>
      </c>
      <c r="E1234" s="10" t="s">
        <v>7</v>
      </c>
      <c r="G1234" s="8">
        <v>45854</v>
      </c>
    </row>
    <row r="1235" spans="1:7" x14ac:dyDescent="0.3">
      <c r="A1235" t="s">
        <v>162</v>
      </c>
      <c r="B1235">
        <v>1</v>
      </c>
      <c r="C1235">
        <v>200</v>
      </c>
      <c r="D1235" s="2">
        <f>B1235*C1235</f>
        <v>200</v>
      </c>
      <c r="E1235" s="10" t="s">
        <v>7</v>
      </c>
      <c r="G1235" s="8">
        <v>45855</v>
      </c>
    </row>
    <row r="1236" spans="1:7" x14ac:dyDescent="0.3">
      <c r="A1236" t="s">
        <v>165</v>
      </c>
      <c r="B1236">
        <v>2</v>
      </c>
      <c r="C1236">
        <v>200</v>
      </c>
      <c r="D1236" s="2">
        <f>B1236*C1236</f>
        <v>400</v>
      </c>
      <c r="E1236" s="10" t="s">
        <v>7</v>
      </c>
      <c r="G1236" s="8">
        <v>45855</v>
      </c>
    </row>
    <row r="1237" spans="1:7" x14ac:dyDescent="0.3">
      <c r="A1237" t="s">
        <v>171</v>
      </c>
      <c r="B1237">
        <v>1</v>
      </c>
      <c r="C1237">
        <v>100</v>
      </c>
      <c r="D1237" s="2">
        <f>B1237*C1237</f>
        <v>100</v>
      </c>
      <c r="E1237" s="10" t="s">
        <v>7</v>
      </c>
      <c r="G1237" s="8">
        <v>45855</v>
      </c>
    </row>
    <row r="1238" spans="1:7" x14ac:dyDescent="0.3">
      <c r="A1238" t="s">
        <v>163</v>
      </c>
      <c r="B1238">
        <v>1</v>
      </c>
      <c r="C1238">
        <v>250</v>
      </c>
      <c r="D1238" s="2">
        <f>B1238*C1238</f>
        <v>250</v>
      </c>
      <c r="E1238" s="10" t="s">
        <v>7</v>
      </c>
      <c r="G1238" s="8">
        <v>45855</v>
      </c>
    </row>
    <row r="1239" spans="1:7" x14ac:dyDescent="0.3">
      <c r="A1239" t="s">
        <v>212</v>
      </c>
      <c r="B1239">
        <v>1.5</v>
      </c>
      <c r="C1239">
        <v>200</v>
      </c>
      <c r="D1239" s="2">
        <f t="shared" si="16"/>
        <v>300</v>
      </c>
      <c r="E1239" s="10" t="s">
        <v>7</v>
      </c>
      <c r="G1239" s="8">
        <v>45855</v>
      </c>
    </row>
    <row r="1240" spans="1:7" x14ac:dyDescent="0.3">
      <c r="A1240" t="s">
        <v>124</v>
      </c>
      <c r="B1240">
        <v>1</v>
      </c>
      <c r="C1240">
        <v>100</v>
      </c>
      <c r="D1240" s="2">
        <f t="shared" si="16"/>
        <v>100</v>
      </c>
      <c r="E1240" s="10" t="s">
        <v>7</v>
      </c>
      <c r="G1240" s="8">
        <v>45857</v>
      </c>
    </row>
    <row r="1241" spans="1:7" x14ac:dyDescent="0.3">
      <c r="A1241" t="s">
        <v>166</v>
      </c>
      <c r="B1241">
        <v>2</v>
      </c>
      <c r="C1241">
        <v>60</v>
      </c>
      <c r="D1241" s="2">
        <f t="shared" si="16"/>
        <v>120</v>
      </c>
      <c r="E1241" s="10" t="s">
        <v>7</v>
      </c>
      <c r="G1241" s="8">
        <v>45857</v>
      </c>
    </row>
    <row r="1242" spans="1:7" x14ac:dyDescent="0.3">
      <c r="A1242" t="s">
        <v>160</v>
      </c>
      <c r="B1242">
        <v>0.14000000000000001</v>
      </c>
      <c r="C1242">
        <v>215</v>
      </c>
      <c r="D1242" s="2">
        <f>B1242*C1242</f>
        <v>30.1</v>
      </c>
      <c r="E1242" s="10" t="s">
        <v>7</v>
      </c>
      <c r="G1242" s="8">
        <v>45858</v>
      </c>
    </row>
    <row r="1243" spans="1:7" x14ac:dyDescent="0.3">
      <c r="A1243" t="s">
        <v>161</v>
      </c>
      <c r="B1243">
        <v>0.14000000000000001</v>
      </c>
      <c r="C1243">
        <v>215</v>
      </c>
      <c r="D1243" s="2">
        <f>B1243*C1243</f>
        <v>30.1</v>
      </c>
      <c r="E1243" s="10" t="s">
        <v>7</v>
      </c>
      <c r="G1243" s="8">
        <v>45858</v>
      </c>
    </row>
    <row r="1244" spans="1:7" x14ac:dyDescent="0.3">
      <c r="A1244" t="s">
        <v>124</v>
      </c>
      <c r="B1244">
        <v>1</v>
      </c>
      <c r="C1244">
        <v>100</v>
      </c>
      <c r="D1244" s="2">
        <f>B1244*C1244</f>
        <v>100</v>
      </c>
      <c r="E1244" s="10" t="s">
        <v>7</v>
      </c>
      <c r="G1244" s="8">
        <v>45858</v>
      </c>
    </row>
    <row r="1245" spans="1:7" x14ac:dyDescent="0.3">
      <c r="A1245" t="s">
        <v>171</v>
      </c>
      <c r="B1245">
        <v>1</v>
      </c>
      <c r="C1245">
        <v>100</v>
      </c>
      <c r="D1245" s="2">
        <f>B1245*C1245</f>
        <v>100</v>
      </c>
      <c r="E1245" s="10" t="s">
        <v>7</v>
      </c>
      <c r="G1245" s="8">
        <v>45858</v>
      </c>
    </row>
    <row r="1246" spans="1:7" x14ac:dyDescent="0.3">
      <c r="A1246" t="s">
        <v>166</v>
      </c>
      <c r="B1246">
        <v>1</v>
      </c>
      <c r="C1246">
        <v>60</v>
      </c>
      <c r="D1246" s="2">
        <f>B1246*C1246</f>
        <v>60</v>
      </c>
      <c r="E1246" s="10" t="s">
        <v>7</v>
      </c>
      <c r="G1246" s="8">
        <v>45858</v>
      </c>
    </row>
    <row r="1247" spans="1:7" x14ac:dyDescent="0.3">
      <c r="A1247" t="s">
        <v>174</v>
      </c>
      <c r="B1247">
        <v>0.3</v>
      </c>
      <c r="C1247">
        <v>620</v>
      </c>
      <c r="D1247" s="2">
        <f t="shared" si="16"/>
        <v>186</v>
      </c>
      <c r="E1247" s="10" t="s">
        <v>7</v>
      </c>
      <c r="G1247" s="8">
        <v>45858</v>
      </c>
    </row>
    <row r="1248" spans="1:7" x14ac:dyDescent="0.3">
      <c r="A1248" t="s">
        <v>175</v>
      </c>
      <c r="B1248">
        <v>1</v>
      </c>
      <c r="C1248">
        <v>200</v>
      </c>
      <c r="D1248" s="2">
        <f>B1248*C1248</f>
        <v>200</v>
      </c>
      <c r="E1248" s="10" t="s">
        <v>7</v>
      </c>
      <c r="G1248" s="8">
        <v>45859</v>
      </c>
    </row>
    <row r="1249" spans="1:7" x14ac:dyDescent="0.3">
      <c r="A1249" t="s">
        <v>166</v>
      </c>
      <c r="B1249">
        <v>1</v>
      </c>
      <c r="C1249">
        <v>50</v>
      </c>
      <c r="D1249" s="2">
        <f t="shared" si="16"/>
        <v>50</v>
      </c>
      <c r="E1249" s="10" t="s">
        <v>7</v>
      </c>
      <c r="G1249" s="8">
        <v>45859</v>
      </c>
    </row>
    <row r="1250" spans="1:7" x14ac:dyDescent="0.3">
      <c r="A1250" s="9" t="s">
        <v>235</v>
      </c>
      <c r="B1250" s="10">
        <v>4</v>
      </c>
      <c r="C1250" s="10">
        <v>370</v>
      </c>
      <c r="D1250" s="11">
        <f>B1250*C1250</f>
        <v>1480</v>
      </c>
      <c r="E1250" s="10" t="s">
        <v>119</v>
      </c>
      <c r="F1250" s="10"/>
      <c r="G1250" s="8">
        <v>45860</v>
      </c>
    </row>
    <row r="1251" spans="1:7" x14ac:dyDescent="0.3">
      <c r="A1251" t="s">
        <v>200</v>
      </c>
      <c r="B1251">
        <v>12</v>
      </c>
      <c r="C1251">
        <v>230</v>
      </c>
      <c r="D1251" s="2">
        <f t="shared" ref="D1251:D1282" si="17">B1251*C1251</f>
        <v>2760</v>
      </c>
      <c r="E1251" s="10" t="s">
        <v>119</v>
      </c>
      <c r="G1251" s="8">
        <v>45860</v>
      </c>
    </row>
    <row r="1252" spans="1:7" x14ac:dyDescent="0.3">
      <c r="A1252" t="s">
        <v>160</v>
      </c>
      <c r="B1252">
        <v>10</v>
      </c>
      <c r="C1252">
        <v>240</v>
      </c>
      <c r="D1252" s="2">
        <f t="shared" si="17"/>
        <v>2400</v>
      </c>
      <c r="E1252" s="10" t="s">
        <v>119</v>
      </c>
      <c r="G1252" s="8">
        <v>45860</v>
      </c>
    </row>
    <row r="1253" spans="1:7" x14ac:dyDescent="0.3">
      <c r="A1253" t="s">
        <v>161</v>
      </c>
      <c r="B1253">
        <v>10</v>
      </c>
      <c r="C1253">
        <v>230</v>
      </c>
      <c r="D1253" s="2">
        <f t="shared" si="17"/>
        <v>2300</v>
      </c>
      <c r="E1253" s="10" t="s">
        <v>119</v>
      </c>
      <c r="G1253" s="8">
        <v>45860</v>
      </c>
    </row>
    <row r="1254" spans="1:7" x14ac:dyDescent="0.3">
      <c r="A1254" t="s">
        <v>196</v>
      </c>
      <c r="B1254">
        <v>12</v>
      </c>
      <c r="C1254">
        <v>200</v>
      </c>
      <c r="D1254" s="2">
        <f t="shared" si="17"/>
        <v>2400</v>
      </c>
      <c r="E1254" s="10" t="s">
        <v>119</v>
      </c>
      <c r="G1254" s="8">
        <v>45860</v>
      </c>
    </row>
    <row r="1255" spans="1:7" x14ac:dyDescent="0.3">
      <c r="A1255" t="s">
        <v>199</v>
      </c>
      <c r="B1255">
        <v>12</v>
      </c>
      <c r="C1255">
        <v>250</v>
      </c>
      <c r="D1255" s="2">
        <f t="shared" si="17"/>
        <v>3000</v>
      </c>
      <c r="E1255" s="10" t="s">
        <v>119</v>
      </c>
      <c r="G1255" s="8">
        <v>45860</v>
      </c>
    </row>
    <row r="1256" spans="1:7" x14ac:dyDescent="0.3">
      <c r="A1256" t="s">
        <v>193</v>
      </c>
      <c r="B1256">
        <v>12</v>
      </c>
      <c r="C1256">
        <v>230</v>
      </c>
      <c r="D1256" s="2">
        <f t="shared" si="17"/>
        <v>2760</v>
      </c>
      <c r="E1256" s="10" t="s">
        <v>119</v>
      </c>
      <c r="G1256" s="8">
        <v>45860</v>
      </c>
    </row>
    <row r="1257" spans="1:7" x14ac:dyDescent="0.3">
      <c r="A1257" t="s">
        <v>216</v>
      </c>
      <c r="B1257">
        <v>12</v>
      </c>
      <c r="C1257">
        <v>240</v>
      </c>
      <c r="D1257" s="2">
        <f t="shared" si="17"/>
        <v>2880</v>
      </c>
      <c r="E1257" s="10" t="s">
        <v>119</v>
      </c>
      <c r="G1257" s="8">
        <v>45860</v>
      </c>
    </row>
    <row r="1258" spans="1:7" x14ac:dyDescent="0.3">
      <c r="A1258" t="s">
        <v>194</v>
      </c>
      <c r="B1258">
        <v>17</v>
      </c>
      <c r="C1258">
        <v>850</v>
      </c>
      <c r="D1258" s="2">
        <f t="shared" si="17"/>
        <v>14450</v>
      </c>
      <c r="E1258" s="10" t="s">
        <v>119</v>
      </c>
      <c r="G1258" s="8">
        <v>45860</v>
      </c>
    </row>
    <row r="1259" spans="1:7" x14ac:dyDescent="0.3">
      <c r="A1259" t="s">
        <v>176</v>
      </c>
      <c r="B1259">
        <v>20</v>
      </c>
      <c r="C1259">
        <v>520</v>
      </c>
      <c r="D1259" s="2">
        <f t="shared" si="17"/>
        <v>10400</v>
      </c>
      <c r="E1259" s="10" t="s">
        <v>119</v>
      </c>
      <c r="G1259" s="8">
        <v>45860</v>
      </c>
    </row>
    <row r="1260" spans="1:7" x14ac:dyDescent="0.3">
      <c r="A1260" t="s">
        <v>185</v>
      </c>
      <c r="B1260">
        <v>5</v>
      </c>
      <c r="C1260">
        <v>600</v>
      </c>
      <c r="D1260" s="2">
        <f t="shared" si="17"/>
        <v>3000</v>
      </c>
      <c r="E1260" s="10" t="s">
        <v>119</v>
      </c>
      <c r="G1260" s="8">
        <v>45860</v>
      </c>
    </row>
    <row r="1261" spans="1:7" x14ac:dyDescent="0.3">
      <c r="A1261" t="s">
        <v>221</v>
      </c>
      <c r="B1261">
        <v>5</v>
      </c>
      <c r="C1261">
        <v>850</v>
      </c>
      <c r="D1261" s="2">
        <f t="shared" si="17"/>
        <v>4250</v>
      </c>
      <c r="E1261" s="10" t="s">
        <v>119</v>
      </c>
      <c r="G1261" s="8">
        <v>45860</v>
      </c>
    </row>
    <row r="1262" spans="1:7" x14ac:dyDescent="0.3">
      <c r="A1262" t="s">
        <v>229</v>
      </c>
      <c r="B1262">
        <v>5</v>
      </c>
      <c r="C1262">
        <v>240</v>
      </c>
      <c r="D1262" s="2">
        <f t="shared" si="17"/>
        <v>1200</v>
      </c>
      <c r="E1262" s="10" t="s">
        <v>119</v>
      </c>
      <c r="G1262" s="8">
        <v>45860</v>
      </c>
    </row>
    <row r="1263" spans="1:7" x14ac:dyDescent="0.3">
      <c r="A1263" t="s">
        <v>198</v>
      </c>
      <c r="B1263">
        <v>5</v>
      </c>
      <c r="C1263">
        <v>245</v>
      </c>
      <c r="D1263" s="2">
        <f t="shared" si="17"/>
        <v>1225</v>
      </c>
      <c r="E1263" s="10" t="s">
        <v>119</v>
      </c>
      <c r="G1263" s="8">
        <v>45860</v>
      </c>
    </row>
    <row r="1264" spans="1:7" x14ac:dyDescent="0.3">
      <c r="A1264" t="s">
        <v>206</v>
      </c>
      <c r="B1264">
        <v>6</v>
      </c>
      <c r="C1264">
        <v>250</v>
      </c>
      <c r="D1264" s="2">
        <f t="shared" si="17"/>
        <v>1500</v>
      </c>
      <c r="E1264" s="10" t="s">
        <v>119</v>
      </c>
      <c r="G1264" s="8">
        <v>45860</v>
      </c>
    </row>
    <row r="1265" spans="1:7" x14ac:dyDescent="0.3">
      <c r="A1265" t="s">
        <v>204</v>
      </c>
      <c r="B1265">
        <v>24</v>
      </c>
      <c r="C1265">
        <v>400</v>
      </c>
      <c r="D1265" s="2">
        <f t="shared" si="17"/>
        <v>9600</v>
      </c>
      <c r="E1265" s="10" t="s">
        <v>119</v>
      </c>
      <c r="G1265" s="8">
        <v>45860</v>
      </c>
    </row>
    <row r="1266" spans="1:7" x14ac:dyDescent="0.3">
      <c r="A1266" t="s">
        <v>175</v>
      </c>
      <c r="B1266">
        <v>15</v>
      </c>
      <c r="C1266">
        <v>300</v>
      </c>
      <c r="D1266" s="2">
        <f t="shared" si="17"/>
        <v>4500</v>
      </c>
      <c r="E1266" s="10" t="s">
        <v>119</v>
      </c>
      <c r="G1266" s="8">
        <v>45860</v>
      </c>
    </row>
    <row r="1267" spans="1:7" x14ac:dyDescent="0.3">
      <c r="A1267" t="s">
        <v>174</v>
      </c>
      <c r="B1267">
        <v>9</v>
      </c>
      <c r="C1267">
        <v>500</v>
      </c>
      <c r="D1267" s="2">
        <f t="shared" si="17"/>
        <v>4500</v>
      </c>
      <c r="E1267" s="10" t="s">
        <v>119</v>
      </c>
      <c r="G1267" s="8">
        <v>45860</v>
      </c>
    </row>
    <row r="1268" spans="1:7" x14ac:dyDescent="0.3">
      <c r="A1268" t="s">
        <v>213</v>
      </c>
      <c r="B1268">
        <v>3</v>
      </c>
      <c r="C1268">
        <v>800</v>
      </c>
      <c r="D1268" s="2">
        <f t="shared" si="17"/>
        <v>2400</v>
      </c>
      <c r="E1268" s="10" t="s">
        <v>119</v>
      </c>
      <c r="G1268" s="8">
        <v>45860</v>
      </c>
    </row>
    <row r="1269" spans="1:7" x14ac:dyDescent="0.3">
      <c r="A1269" t="s">
        <v>64</v>
      </c>
      <c r="B1269">
        <v>5</v>
      </c>
      <c r="C1269">
        <v>210</v>
      </c>
      <c r="D1269" s="2">
        <f t="shared" si="17"/>
        <v>1050</v>
      </c>
      <c r="E1269" s="10" t="s">
        <v>119</v>
      </c>
      <c r="G1269" s="8">
        <v>45860</v>
      </c>
    </row>
    <row r="1270" spans="1:7" x14ac:dyDescent="0.3">
      <c r="A1270" t="s">
        <v>75</v>
      </c>
      <c r="B1270">
        <v>5</v>
      </c>
      <c r="C1270">
        <v>210</v>
      </c>
      <c r="D1270" s="2">
        <f t="shared" si="17"/>
        <v>1050</v>
      </c>
      <c r="E1270" s="10" t="s">
        <v>119</v>
      </c>
      <c r="G1270" s="8">
        <v>45860</v>
      </c>
    </row>
    <row r="1271" spans="1:7" x14ac:dyDescent="0.3">
      <c r="A1271" t="s">
        <v>217</v>
      </c>
      <c r="B1271">
        <v>20</v>
      </c>
      <c r="C1271">
        <v>490</v>
      </c>
      <c r="D1271" s="2">
        <f t="shared" si="17"/>
        <v>9800</v>
      </c>
      <c r="E1271" s="10" t="s">
        <v>119</v>
      </c>
      <c r="G1271" s="8">
        <v>45860</v>
      </c>
    </row>
    <row r="1272" spans="1:7" x14ac:dyDescent="0.3">
      <c r="A1272" t="s">
        <v>151</v>
      </c>
      <c r="B1272">
        <v>20</v>
      </c>
      <c r="C1272">
        <v>140</v>
      </c>
      <c r="D1272" s="2">
        <f t="shared" si="17"/>
        <v>2800</v>
      </c>
      <c r="E1272" s="10" t="s">
        <v>119</v>
      </c>
      <c r="G1272" s="8">
        <v>45860</v>
      </c>
    </row>
    <row r="1273" spans="1:7" x14ac:dyDescent="0.3">
      <c r="A1273" t="s">
        <v>187</v>
      </c>
      <c r="B1273">
        <v>20</v>
      </c>
      <c r="C1273">
        <v>140</v>
      </c>
      <c r="D1273" s="2">
        <f t="shared" si="17"/>
        <v>2800</v>
      </c>
      <c r="E1273" s="10" t="s">
        <v>119</v>
      </c>
      <c r="G1273" s="8">
        <v>45860</v>
      </c>
    </row>
    <row r="1274" spans="1:7" x14ac:dyDescent="0.3">
      <c r="A1274" t="s">
        <v>162</v>
      </c>
      <c r="B1274">
        <v>1</v>
      </c>
      <c r="C1274">
        <v>20</v>
      </c>
      <c r="D1274" s="2">
        <f t="shared" si="17"/>
        <v>20</v>
      </c>
      <c r="E1274" s="10" t="s">
        <v>7</v>
      </c>
      <c r="G1274" s="8">
        <v>45860</v>
      </c>
    </row>
    <row r="1275" spans="1:7" x14ac:dyDescent="0.3">
      <c r="A1275" t="s">
        <v>171</v>
      </c>
      <c r="B1275">
        <v>2</v>
      </c>
      <c r="C1275">
        <v>100</v>
      </c>
      <c r="D1275" s="2">
        <f t="shared" si="17"/>
        <v>200</v>
      </c>
      <c r="E1275" s="10" t="s">
        <v>7</v>
      </c>
      <c r="G1275" s="8">
        <v>45860</v>
      </c>
    </row>
    <row r="1276" spans="1:7" x14ac:dyDescent="0.3">
      <c r="A1276" t="s">
        <v>166</v>
      </c>
      <c r="B1276">
        <v>1</v>
      </c>
      <c r="C1276">
        <v>60</v>
      </c>
      <c r="D1276" s="2">
        <f t="shared" si="17"/>
        <v>60</v>
      </c>
      <c r="E1276" s="10" t="s">
        <v>7</v>
      </c>
      <c r="G1276" s="8">
        <v>45861</v>
      </c>
    </row>
    <row r="1277" spans="1:7" x14ac:dyDescent="0.3">
      <c r="A1277" t="s">
        <v>173</v>
      </c>
      <c r="B1277">
        <v>1</v>
      </c>
      <c r="C1277">
        <v>150</v>
      </c>
      <c r="D1277" s="2">
        <f t="shared" si="17"/>
        <v>150</v>
      </c>
      <c r="E1277" s="10" t="s">
        <v>7</v>
      </c>
      <c r="G1277" s="8">
        <v>45861</v>
      </c>
    </row>
    <row r="1278" spans="1:7" x14ac:dyDescent="0.3">
      <c r="A1278" t="s">
        <v>162</v>
      </c>
      <c r="B1278">
        <v>1</v>
      </c>
      <c r="C1278">
        <v>20</v>
      </c>
      <c r="D1278" s="2">
        <f t="shared" si="17"/>
        <v>20</v>
      </c>
      <c r="E1278" s="10" t="s">
        <v>7</v>
      </c>
      <c r="G1278" s="8">
        <v>45861</v>
      </c>
    </row>
    <row r="1279" spans="1:7" x14ac:dyDescent="0.3">
      <c r="A1279" t="s">
        <v>212</v>
      </c>
      <c r="B1279">
        <v>0.5</v>
      </c>
      <c r="C1279">
        <v>200</v>
      </c>
      <c r="D1279" s="2">
        <f t="shared" si="17"/>
        <v>100</v>
      </c>
      <c r="E1279" s="10" t="s">
        <v>7</v>
      </c>
      <c r="G1279" s="8">
        <v>45861</v>
      </c>
    </row>
    <row r="1280" spans="1:7" x14ac:dyDescent="0.3">
      <c r="A1280" t="s">
        <v>212</v>
      </c>
      <c r="B1280">
        <v>0.5</v>
      </c>
      <c r="C1280">
        <v>200</v>
      </c>
      <c r="D1280" s="2">
        <f t="shared" si="17"/>
        <v>100</v>
      </c>
      <c r="E1280" s="10" t="s">
        <v>7</v>
      </c>
      <c r="G1280" s="8">
        <v>45862</v>
      </c>
    </row>
    <row r="1281" spans="1:7" x14ac:dyDescent="0.3">
      <c r="A1281" t="s">
        <v>174</v>
      </c>
      <c r="B1281">
        <v>0.4</v>
      </c>
      <c r="C1281">
        <v>700</v>
      </c>
      <c r="D1281" s="2">
        <f t="shared" si="17"/>
        <v>280</v>
      </c>
      <c r="E1281" s="10" t="s">
        <v>7</v>
      </c>
      <c r="G1281" s="8">
        <v>45862</v>
      </c>
    </row>
    <row r="1282" spans="1:7" x14ac:dyDescent="0.3">
      <c r="A1282" t="s">
        <v>165</v>
      </c>
      <c r="B1282">
        <v>0.5</v>
      </c>
      <c r="C1282">
        <v>200</v>
      </c>
      <c r="D1282" s="2">
        <f t="shared" si="17"/>
        <v>100</v>
      </c>
      <c r="E1282" s="10" t="s">
        <v>7</v>
      </c>
      <c r="G1282" s="8">
        <v>45862</v>
      </c>
    </row>
    <row r="1283" spans="1:7" x14ac:dyDescent="0.3">
      <c r="A1283" t="s">
        <v>171</v>
      </c>
      <c r="B1283">
        <v>4</v>
      </c>
      <c r="C1283">
        <v>100</v>
      </c>
      <c r="D1283" s="2">
        <f t="shared" ref="D1283:D1315" si="18">B1283*C1283</f>
        <v>400</v>
      </c>
      <c r="E1283" s="10" t="s">
        <v>7</v>
      </c>
      <c r="G1283" s="8">
        <v>45864</v>
      </c>
    </row>
    <row r="1284" spans="1:7" x14ac:dyDescent="0.3">
      <c r="A1284" t="s">
        <v>174</v>
      </c>
      <c r="B1284">
        <v>0.2</v>
      </c>
      <c r="C1284">
        <v>600</v>
      </c>
      <c r="D1284" s="2">
        <f t="shared" si="18"/>
        <v>120</v>
      </c>
      <c r="E1284" s="10" t="s">
        <v>7</v>
      </c>
      <c r="G1284" s="8">
        <v>45864</v>
      </c>
    </row>
    <row r="1285" spans="1:7" x14ac:dyDescent="0.3">
      <c r="A1285" t="s">
        <v>161</v>
      </c>
      <c r="B1285">
        <v>1</v>
      </c>
      <c r="C1285">
        <v>200</v>
      </c>
      <c r="D1285" s="2">
        <f t="shared" si="18"/>
        <v>200</v>
      </c>
      <c r="E1285" s="10" t="s">
        <v>7</v>
      </c>
      <c r="G1285" s="8">
        <v>45865</v>
      </c>
    </row>
    <row r="1286" spans="1:7" x14ac:dyDescent="0.3">
      <c r="A1286" t="s">
        <v>65</v>
      </c>
      <c r="B1286">
        <v>0.2</v>
      </c>
      <c r="C1286">
        <v>750</v>
      </c>
      <c r="D1286" s="2">
        <f t="shared" si="18"/>
        <v>150</v>
      </c>
      <c r="E1286" s="10" t="s">
        <v>7</v>
      </c>
      <c r="G1286" s="8">
        <v>45865</v>
      </c>
    </row>
    <row r="1287" spans="1:7" x14ac:dyDescent="0.3">
      <c r="A1287" t="s">
        <v>162</v>
      </c>
      <c r="B1287">
        <v>1</v>
      </c>
      <c r="C1287">
        <v>20</v>
      </c>
      <c r="D1287" s="2">
        <f t="shared" si="18"/>
        <v>20</v>
      </c>
      <c r="E1287" s="10" t="s">
        <v>7</v>
      </c>
      <c r="G1287" s="8">
        <v>45866</v>
      </c>
    </row>
    <row r="1288" spans="1:7" x14ac:dyDescent="0.3">
      <c r="A1288" t="s">
        <v>169</v>
      </c>
      <c r="B1288">
        <v>1</v>
      </c>
      <c r="C1288">
        <v>120</v>
      </c>
      <c r="D1288" s="2">
        <f t="shared" si="18"/>
        <v>120</v>
      </c>
      <c r="E1288" s="10" t="s">
        <v>7</v>
      </c>
      <c r="G1288" s="8">
        <v>45866</v>
      </c>
    </row>
    <row r="1289" spans="1:7" x14ac:dyDescent="0.3">
      <c r="A1289" t="s">
        <v>161</v>
      </c>
      <c r="B1289">
        <v>0.1</v>
      </c>
      <c r="C1289">
        <v>250</v>
      </c>
      <c r="D1289" s="2">
        <f t="shared" si="18"/>
        <v>25</v>
      </c>
      <c r="E1289" s="10" t="s">
        <v>7</v>
      </c>
      <c r="G1289" s="8">
        <v>45866</v>
      </c>
    </row>
    <row r="1290" spans="1:7" x14ac:dyDescent="0.3">
      <c r="A1290" t="s">
        <v>165</v>
      </c>
      <c r="B1290">
        <v>0.25</v>
      </c>
      <c r="C1290">
        <v>220</v>
      </c>
      <c r="D1290" s="2">
        <f t="shared" si="18"/>
        <v>55</v>
      </c>
      <c r="E1290" s="10" t="s">
        <v>7</v>
      </c>
      <c r="G1290" s="8">
        <v>45867</v>
      </c>
    </row>
    <row r="1291" spans="1:7" x14ac:dyDescent="0.3">
      <c r="A1291" t="s">
        <v>161</v>
      </c>
      <c r="B1291">
        <v>1</v>
      </c>
      <c r="C1291">
        <v>200</v>
      </c>
      <c r="D1291" s="2">
        <f t="shared" si="18"/>
        <v>200</v>
      </c>
      <c r="E1291" s="10" t="s">
        <v>7</v>
      </c>
      <c r="G1291" s="8">
        <v>45867</v>
      </c>
    </row>
    <row r="1292" spans="1:7" x14ac:dyDescent="0.3">
      <c r="A1292" t="s">
        <v>166</v>
      </c>
      <c r="B1292">
        <v>1</v>
      </c>
      <c r="C1292">
        <v>60</v>
      </c>
      <c r="D1292" s="2">
        <f t="shared" si="18"/>
        <v>60</v>
      </c>
      <c r="E1292" s="10" t="s">
        <v>7</v>
      </c>
      <c r="G1292" s="8">
        <v>45867</v>
      </c>
    </row>
    <row r="1293" spans="1:7" x14ac:dyDescent="0.3">
      <c r="A1293" t="s">
        <v>212</v>
      </c>
      <c r="B1293">
        <v>0.5</v>
      </c>
      <c r="C1293">
        <v>200</v>
      </c>
      <c r="D1293" s="2">
        <f t="shared" si="18"/>
        <v>100</v>
      </c>
      <c r="E1293" s="10" t="s">
        <v>7</v>
      </c>
      <c r="G1293" s="8">
        <v>45867</v>
      </c>
    </row>
    <row r="1294" spans="1:7" x14ac:dyDescent="0.3">
      <c r="A1294" t="s">
        <v>163</v>
      </c>
      <c r="B1294">
        <v>1</v>
      </c>
      <c r="C1294">
        <v>250</v>
      </c>
      <c r="D1294" s="2">
        <f t="shared" si="18"/>
        <v>250</v>
      </c>
      <c r="E1294" s="10" t="s">
        <v>7</v>
      </c>
      <c r="G1294" s="8">
        <v>45867</v>
      </c>
    </row>
    <row r="1295" spans="1:7" x14ac:dyDescent="0.3">
      <c r="A1295" t="s">
        <v>165</v>
      </c>
      <c r="B1295">
        <v>1</v>
      </c>
      <c r="C1295">
        <v>200</v>
      </c>
      <c r="D1295" s="2">
        <f t="shared" si="18"/>
        <v>200</v>
      </c>
      <c r="E1295" s="10" t="s">
        <v>7</v>
      </c>
      <c r="G1295" s="8">
        <v>45868</v>
      </c>
    </row>
    <row r="1296" spans="1:7" x14ac:dyDescent="0.3">
      <c r="A1296" t="s">
        <v>162</v>
      </c>
      <c r="B1296">
        <v>2</v>
      </c>
      <c r="C1296">
        <v>20</v>
      </c>
      <c r="D1296" s="2">
        <f t="shared" si="18"/>
        <v>40</v>
      </c>
      <c r="E1296" s="10" t="s">
        <v>7</v>
      </c>
      <c r="G1296" s="8">
        <v>45868</v>
      </c>
    </row>
    <row r="1297" spans="1:7" x14ac:dyDescent="0.3">
      <c r="A1297" t="s">
        <v>175</v>
      </c>
      <c r="B1297">
        <v>1</v>
      </c>
      <c r="C1297">
        <v>350</v>
      </c>
      <c r="D1297" s="2">
        <f t="shared" si="18"/>
        <v>350</v>
      </c>
      <c r="E1297" s="10" t="s">
        <v>7</v>
      </c>
      <c r="G1297" s="8">
        <v>45868</v>
      </c>
    </row>
    <row r="1298" spans="1:7" x14ac:dyDescent="0.3">
      <c r="A1298" t="s">
        <v>163</v>
      </c>
      <c r="B1298">
        <v>1</v>
      </c>
      <c r="C1298">
        <v>280</v>
      </c>
      <c r="D1298" s="2">
        <f t="shared" si="18"/>
        <v>280</v>
      </c>
      <c r="E1298" s="10" t="s">
        <v>7</v>
      </c>
      <c r="G1298" s="8">
        <v>45868</v>
      </c>
    </row>
    <row r="1299" spans="1:7" x14ac:dyDescent="0.3">
      <c r="A1299" t="s">
        <v>162</v>
      </c>
      <c r="B1299">
        <v>3</v>
      </c>
      <c r="C1299">
        <v>20</v>
      </c>
      <c r="D1299" s="2">
        <f t="shared" si="18"/>
        <v>60</v>
      </c>
      <c r="E1299" s="10" t="s">
        <v>7</v>
      </c>
      <c r="G1299" s="8">
        <v>45869</v>
      </c>
    </row>
    <row r="1300" spans="1:7" x14ac:dyDescent="0.3">
      <c r="A1300" t="s">
        <v>164</v>
      </c>
      <c r="B1300">
        <v>1</v>
      </c>
      <c r="C1300">
        <v>50</v>
      </c>
      <c r="D1300" s="2">
        <f t="shared" si="18"/>
        <v>50</v>
      </c>
      <c r="E1300" s="10" t="s">
        <v>7</v>
      </c>
      <c r="G1300" s="8">
        <v>45869</v>
      </c>
    </row>
    <row r="1301" spans="1:7" x14ac:dyDescent="0.3">
      <c r="A1301" t="s">
        <v>171</v>
      </c>
      <c r="B1301">
        <v>1</v>
      </c>
      <c r="C1301">
        <v>100</v>
      </c>
      <c r="D1301" s="2">
        <f t="shared" si="18"/>
        <v>100</v>
      </c>
      <c r="E1301" s="10" t="s">
        <v>7</v>
      </c>
      <c r="G1301" s="8">
        <v>45869</v>
      </c>
    </row>
    <row r="1302" spans="1:7" x14ac:dyDescent="0.3">
      <c r="A1302" t="s">
        <v>162</v>
      </c>
      <c r="B1302">
        <v>1</v>
      </c>
      <c r="C1302">
        <v>20</v>
      </c>
      <c r="D1302" s="2">
        <f t="shared" si="18"/>
        <v>20</v>
      </c>
      <c r="E1302" s="10" t="s">
        <v>7</v>
      </c>
      <c r="G1302" s="8">
        <v>45871</v>
      </c>
    </row>
    <row r="1303" spans="1:7" x14ac:dyDescent="0.3">
      <c r="A1303" t="s">
        <v>176</v>
      </c>
      <c r="B1303">
        <v>0.4</v>
      </c>
      <c r="C1303">
        <v>500</v>
      </c>
      <c r="D1303" s="2">
        <f t="shared" si="18"/>
        <v>200</v>
      </c>
      <c r="E1303" s="10" t="s">
        <v>7</v>
      </c>
      <c r="G1303" s="8">
        <v>45871</v>
      </c>
    </row>
    <row r="1304" spans="1:7" x14ac:dyDescent="0.3">
      <c r="A1304" s="9" t="s">
        <v>122</v>
      </c>
      <c r="B1304" s="10">
        <v>1</v>
      </c>
      <c r="C1304" s="10">
        <v>750</v>
      </c>
      <c r="D1304" s="11">
        <f t="shared" si="18"/>
        <v>750</v>
      </c>
      <c r="E1304" s="10" t="s">
        <v>7</v>
      </c>
      <c r="F1304" s="10"/>
      <c r="G1304" s="8">
        <v>45872</v>
      </c>
    </row>
    <row r="1305" spans="1:7" x14ac:dyDescent="0.3">
      <c r="A1305" t="s">
        <v>168</v>
      </c>
      <c r="B1305">
        <v>1</v>
      </c>
      <c r="C1305">
        <v>350</v>
      </c>
      <c r="D1305" s="2">
        <f t="shared" si="18"/>
        <v>350</v>
      </c>
      <c r="E1305" s="10" t="s">
        <v>7</v>
      </c>
      <c r="G1305" s="8">
        <v>45872</v>
      </c>
    </row>
    <row r="1306" spans="1:7" x14ac:dyDescent="0.3">
      <c r="A1306" t="s">
        <v>175</v>
      </c>
      <c r="B1306">
        <v>1</v>
      </c>
      <c r="C1306">
        <v>250</v>
      </c>
      <c r="D1306" s="2">
        <f t="shared" si="18"/>
        <v>250</v>
      </c>
      <c r="E1306" s="10" t="s">
        <v>7</v>
      </c>
      <c r="G1306" s="8">
        <v>45873</v>
      </c>
    </row>
    <row r="1307" spans="1:7" x14ac:dyDescent="0.3">
      <c r="A1307" t="s">
        <v>162</v>
      </c>
      <c r="B1307">
        <v>1</v>
      </c>
      <c r="C1307">
        <v>20</v>
      </c>
      <c r="D1307" s="2">
        <f t="shared" si="18"/>
        <v>20</v>
      </c>
      <c r="E1307" s="10" t="s">
        <v>7</v>
      </c>
      <c r="G1307" s="8">
        <v>45873</v>
      </c>
    </row>
    <row r="1308" spans="1:7" x14ac:dyDescent="0.3">
      <c r="A1308" t="s">
        <v>166</v>
      </c>
      <c r="B1308">
        <v>1</v>
      </c>
      <c r="C1308">
        <v>60</v>
      </c>
      <c r="D1308" s="2">
        <f t="shared" si="18"/>
        <v>60</v>
      </c>
      <c r="E1308" s="10" t="s">
        <v>7</v>
      </c>
      <c r="G1308" s="8">
        <v>45873</v>
      </c>
    </row>
    <row r="1309" spans="1:7" x14ac:dyDescent="0.3">
      <c r="A1309" t="s">
        <v>218</v>
      </c>
      <c r="B1309">
        <v>3</v>
      </c>
      <c r="C1309">
        <v>50</v>
      </c>
      <c r="D1309" s="2">
        <f>B1309*C1309</f>
        <v>150</v>
      </c>
      <c r="E1309" s="10" t="s">
        <v>7</v>
      </c>
      <c r="G1309" s="8">
        <v>45876</v>
      </c>
    </row>
    <row r="1310" spans="1:7" x14ac:dyDescent="0.3">
      <c r="A1310" t="s">
        <v>162</v>
      </c>
      <c r="B1310">
        <v>1</v>
      </c>
      <c r="C1310">
        <v>20</v>
      </c>
      <c r="D1310" s="2">
        <f t="shared" si="18"/>
        <v>20</v>
      </c>
      <c r="E1310" s="10" t="s">
        <v>7</v>
      </c>
      <c r="G1310" s="8">
        <v>45876</v>
      </c>
    </row>
    <row r="1311" spans="1:7" x14ac:dyDescent="0.3">
      <c r="A1311" t="s">
        <v>228</v>
      </c>
      <c r="B1311">
        <v>1</v>
      </c>
      <c r="C1311">
        <v>180</v>
      </c>
      <c r="D1311" s="2">
        <f t="shared" si="18"/>
        <v>180</v>
      </c>
      <c r="E1311" s="10" t="s">
        <v>7</v>
      </c>
      <c r="G1311" s="8">
        <v>45878</v>
      </c>
    </row>
    <row r="1312" spans="1:7" x14ac:dyDescent="0.3">
      <c r="A1312" t="s">
        <v>160</v>
      </c>
      <c r="B1312">
        <v>1</v>
      </c>
      <c r="C1312">
        <v>220</v>
      </c>
      <c r="D1312" s="2">
        <f t="shared" si="18"/>
        <v>220</v>
      </c>
      <c r="E1312" s="10" t="s">
        <v>7</v>
      </c>
      <c r="G1312" s="8">
        <v>45878</v>
      </c>
    </row>
    <row r="1313" spans="1:7" x14ac:dyDescent="0.3">
      <c r="A1313" t="s">
        <v>212</v>
      </c>
      <c r="B1313">
        <v>0.5</v>
      </c>
      <c r="C1313">
        <v>200</v>
      </c>
      <c r="D1313" s="2">
        <f t="shared" si="18"/>
        <v>100</v>
      </c>
      <c r="E1313" s="10" t="s">
        <v>7</v>
      </c>
      <c r="G1313" s="8">
        <v>45878</v>
      </c>
    </row>
    <row r="1314" spans="1:7" x14ac:dyDescent="0.3">
      <c r="A1314" t="s">
        <v>65</v>
      </c>
      <c r="B1314">
        <v>36</v>
      </c>
      <c r="C1314">
        <v>245</v>
      </c>
      <c r="D1314" s="2">
        <f t="shared" si="18"/>
        <v>8820</v>
      </c>
      <c r="E1314" s="10" t="s">
        <v>119</v>
      </c>
      <c r="G1314" s="8">
        <v>45879</v>
      </c>
    </row>
    <row r="1315" spans="1:7" x14ac:dyDescent="0.3">
      <c r="A1315" t="s">
        <v>221</v>
      </c>
      <c r="B1315">
        <v>7</v>
      </c>
      <c r="C1315">
        <v>1150</v>
      </c>
      <c r="D1315" s="2">
        <f t="shared" si="18"/>
        <v>8050</v>
      </c>
      <c r="E1315" s="10" t="s">
        <v>19</v>
      </c>
      <c r="G1315" s="8">
        <v>45879</v>
      </c>
    </row>
    <row r="1316" spans="1:7" x14ac:dyDescent="0.3">
      <c r="A1316" t="s">
        <v>194</v>
      </c>
      <c r="B1316">
        <v>10</v>
      </c>
      <c r="C1316">
        <v>1280</v>
      </c>
      <c r="D1316" s="2">
        <f t="shared" ref="D1316:D1347" si="19">B1316*C1316</f>
        <v>12800</v>
      </c>
      <c r="E1316" s="10" t="s">
        <v>19</v>
      </c>
      <c r="G1316" s="8">
        <v>45879</v>
      </c>
    </row>
    <row r="1317" spans="1:7" x14ac:dyDescent="0.3">
      <c r="A1317" t="s">
        <v>191</v>
      </c>
      <c r="B1317">
        <v>40</v>
      </c>
      <c r="C1317">
        <v>360</v>
      </c>
      <c r="D1317" s="2">
        <f t="shared" si="19"/>
        <v>14400</v>
      </c>
      <c r="E1317" s="10" t="s">
        <v>19</v>
      </c>
      <c r="G1317" s="8">
        <v>45879</v>
      </c>
    </row>
    <row r="1318" spans="1:7" x14ac:dyDescent="0.3">
      <c r="A1318" t="s">
        <v>180</v>
      </c>
      <c r="B1318">
        <v>12</v>
      </c>
      <c r="C1318">
        <v>280</v>
      </c>
      <c r="D1318" s="2">
        <f t="shared" si="19"/>
        <v>3360</v>
      </c>
      <c r="E1318" s="10" t="s">
        <v>19</v>
      </c>
      <c r="G1318" s="8">
        <v>45879</v>
      </c>
    </row>
    <row r="1319" spans="1:7" x14ac:dyDescent="0.3">
      <c r="A1319" t="s">
        <v>160</v>
      </c>
      <c r="B1319">
        <v>10</v>
      </c>
      <c r="C1319">
        <v>245</v>
      </c>
      <c r="D1319" s="2">
        <f t="shared" si="19"/>
        <v>2450</v>
      </c>
      <c r="E1319" s="10" t="s">
        <v>19</v>
      </c>
      <c r="G1319" s="8">
        <v>45879</v>
      </c>
    </row>
    <row r="1320" spans="1:7" x14ac:dyDescent="0.3">
      <c r="A1320" t="s">
        <v>161</v>
      </c>
      <c r="B1320">
        <v>10</v>
      </c>
      <c r="C1320">
        <v>240</v>
      </c>
      <c r="D1320" s="2">
        <f t="shared" si="19"/>
        <v>2400</v>
      </c>
      <c r="E1320" s="10" t="s">
        <v>19</v>
      </c>
      <c r="G1320" s="8">
        <v>45879</v>
      </c>
    </row>
    <row r="1321" spans="1:7" x14ac:dyDescent="0.3">
      <c r="A1321" t="s">
        <v>200</v>
      </c>
      <c r="B1321">
        <v>12</v>
      </c>
      <c r="C1321">
        <v>270</v>
      </c>
      <c r="D1321" s="2">
        <f t="shared" si="19"/>
        <v>3240</v>
      </c>
      <c r="E1321" s="10" t="s">
        <v>19</v>
      </c>
      <c r="G1321" s="8">
        <v>45879</v>
      </c>
    </row>
    <row r="1322" spans="1:7" x14ac:dyDescent="0.3">
      <c r="A1322" t="s">
        <v>183</v>
      </c>
      <c r="B1322">
        <v>12</v>
      </c>
      <c r="C1322">
        <v>780</v>
      </c>
      <c r="D1322" s="2">
        <f t="shared" si="19"/>
        <v>9360</v>
      </c>
      <c r="E1322" s="10" t="s">
        <v>19</v>
      </c>
      <c r="G1322" s="8">
        <v>45879</v>
      </c>
    </row>
    <row r="1323" spans="1:7" x14ac:dyDescent="0.3">
      <c r="A1323" t="s">
        <v>174</v>
      </c>
      <c r="B1323">
        <v>25</v>
      </c>
      <c r="C1323">
        <v>500</v>
      </c>
      <c r="D1323" s="2">
        <f t="shared" si="19"/>
        <v>12500</v>
      </c>
      <c r="E1323" s="10" t="s">
        <v>19</v>
      </c>
      <c r="G1323" s="8">
        <v>45879</v>
      </c>
    </row>
    <row r="1324" spans="1:7" x14ac:dyDescent="0.3">
      <c r="A1324" t="s">
        <v>168</v>
      </c>
      <c r="B1324">
        <v>20</v>
      </c>
      <c r="C1324">
        <v>395</v>
      </c>
      <c r="D1324" s="2">
        <f t="shared" si="19"/>
        <v>7900</v>
      </c>
      <c r="E1324" s="10" t="s">
        <v>19</v>
      </c>
      <c r="G1324" s="8">
        <v>45879</v>
      </c>
    </row>
    <row r="1325" spans="1:7" x14ac:dyDescent="0.3">
      <c r="A1325" t="s">
        <v>230</v>
      </c>
      <c r="B1325">
        <v>12</v>
      </c>
      <c r="C1325">
        <v>210</v>
      </c>
      <c r="D1325" s="2">
        <f t="shared" si="19"/>
        <v>2520</v>
      </c>
      <c r="E1325" s="10" t="s">
        <v>19</v>
      </c>
      <c r="G1325" s="8">
        <v>45879</v>
      </c>
    </row>
    <row r="1326" spans="1:7" x14ac:dyDescent="0.3">
      <c r="A1326" t="s">
        <v>229</v>
      </c>
      <c r="B1326">
        <v>10</v>
      </c>
      <c r="C1326">
        <v>195</v>
      </c>
      <c r="D1326" s="2">
        <f t="shared" si="19"/>
        <v>1950</v>
      </c>
      <c r="E1326" s="10" t="s">
        <v>19</v>
      </c>
      <c r="G1326" s="8">
        <v>45879</v>
      </c>
    </row>
    <row r="1327" spans="1:7" x14ac:dyDescent="0.3">
      <c r="A1327" t="s">
        <v>222</v>
      </c>
      <c r="B1327">
        <v>20</v>
      </c>
      <c r="C1327">
        <v>145</v>
      </c>
      <c r="D1327" s="2">
        <f t="shared" si="19"/>
        <v>2900</v>
      </c>
      <c r="E1327" s="10" t="s">
        <v>19</v>
      </c>
      <c r="G1327" s="8">
        <v>45879</v>
      </c>
    </row>
    <row r="1328" spans="1:7" x14ac:dyDescent="0.3">
      <c r="A1328" t="s">
        <v>165</v>
      </c>
      <c r="B1328">
        <v>10</v>
      </c>
      <c r="C1328">
        <v>200</v>
      </c>
      <c r="D1328" s="2">
        <f t="shared" si="19"/>
        <v>2000</v>
      </c>
      <c r="E1328" s="10" t="s">
        <v>19</v>
      </c>
      <c r="G1328" s="8">
        <v>45879</v>
      </c>
    </row>
    <row r="1329" spans="1:7" x14ac:dyDescent="0.3">
      <c r="A1329" t="s">
        <v>187</v>
      </c>
      <c r="B1329">
        <v>42</v>
      </c>
      <c r="C1329">
        <v>160</v>
      </c>
      <c r="D1329" s="2">
        <f t="shared" si="19"/>
        <v>6720</v>
      </c>
      <c r="E1329" s="10" t="s">
        <v>19</v>
      </c>
      <c r="G1329" s="8">
        <v>45879</v>
      </c>
    </row>
    <row r="1330" spans="1:7" x14ac:dyDescent="0.3">
      <c r="A1330" t="s">
        <v>179</v>
      </c>
      <c r="B1330">
        <v>20</v>
      </c>
      <c r="C1330">
        <v>250</v>
      </c>
      <c r="D1330" s="2">
        <f t="shared" si="19"/>
        <v>5000</v>
      </c>
      <c r="E1330" s="10" t="s">
        <v>19</v>
      </c>
      <c r="G1330" s="8">
        <v>45879</v>
      </c>
    </row>
    <row r="1331" spans="1:7" x14ac:dyDescent="0.3">
      <c r="A1331" t="s">
        <v>65</v>
      </c>
      <c r="B1331">
        <v>24</v>
      </c>
      <c r="C1331">
        <v>265</v>
      </c>
      <c r="D1331" s="2">
        <f t="shared" si="19"/>
        <v>6360</v>
      </c>
      <c r="E1331" s="10" t="s">
        <v>19</v>
      </c>
      <c r="G1331" s="8">
        <v>45879</v>
      </c>
    </row>
    <row r="1332" spans="1:7" x14ac:dyDescent="0.3">
      <c r="A1332" t="s">
        <v>203</v>
      </c>
      <c r="B1332">
        <v>20</v>
      </c>
      <c r="C1332">
        <v>350</v>
      </c>
      <c r="D1332" s="2">
        <f t="shared" si="19"/>
        <v>7000</v>
      </c>
      <c r="E1332" s="10" t="s">
        <v>19</v>
      </c>
      <c r="G1332" s="8">
        <v>45879</v>
      </c>
    </row>
    <row r="1333" spans="1:7" x14ac:dyDescent="0.3">
      <c r="A1333" t="s">
        <v>73</v>
      </c>
      <c r="B1333">
        <v>12</v>
      </c>
      <c r="C1333">
        <v>210</v>
      </c>
      <c r="D1333" s="2">
        <f t="shared" si="19"/>
        <v>2520</v>
      </c>
      <c r="E1333" s="10" t="s">
        <v>19</v>
      </c>
      <c r="G1333" s="8">
        <v>45879</v>
      </c>
    </row>
    <row r="1334" spans="1:7" x14ac:dyDescent="0.3">
      <c r="A1334" t="s">
        <v>192</v>
      </c>
      <c r="B1334">
        <v>12</v>
      </c>
      <c r="C1334">
        <v>310</v>
      </c>
      <c r="D1334" s="2">
        <f t="shared" si="19"/>
        <v>3720</v>
      </c>
      <c r="E1334" s="10" t="s">
        <v>19</v>
      </c>
      <c r="G1334" s="8">
        <v>45879</v>
      </c>
    </row>
    <row r="1335" spans="1:7" x14ac:dyDescent="0.3">
      <c r="A1335" t="s">
        <v>204</v>
      </c>
      <c r="B1335">
        <v>12</v>
      </c>
      <c r="C1335">
        <v>430</v>
      </c>
      <c r="D1335" s="2">
        <f t="shared" si="19"/>
        <v>5160</v>
      </c>
      <c r="E1335" s="10" t="s">
        <v>19</v>
      </c>
      <c r="G1335" s="8">
        <v>45879</v>
      </c>
    </row>
    <row r="1336" spans="1:7" x14ac:dyDescent="0.3">
      <c r="A1336" t="s">
        <v>64</v>
      </c>
      <c r="B1336">
        <v>12</v>
      </c>
      <c r="C1336">
        <v>220</v>
      </c>
      <c r="D1336" s="2">
        <f t="shared" si="19"/>
        <v>2640</v>
      </c>
      <c r="E1336" s="10" t="s">
        <v>19</v>
      </c>
      <c r="G1336" s="8">
        <v>45879</v>
      </c>
    </row>
    <row r="1337" spans="1:7" x14ac:dyDescent="0.3">
      <c r="A1337" t="s">
        <v>201</v>
      </c>
      <c r="B1337">
        <v>24</v>
      </c>
      <c r="C1337">
        <v>620</v>
      </c>
      <c r="D1337" s="2">
        <f t="shared" si="19"/>
        <v>14880</v>
      </c>
      <c r="E1337" s="10" t="s">
        <v>19</v>
      </c>
      <c r="G1337" s="8">
        <v>45879</v>
      </c>
    </row>
    <row r="1338" spans="1:7" x14ac:dyDescent="0.3">
      <c r="A1338" t="s">
        <v>218</v>
      </c>
      <c r="B1338">
        <v>25</v>
      </c>
      <c r="C1338">
        <v>55</v>
      </c>
      <c r="D1338" s="2">
        <f t="shared" si="19"/>
        <v>1375</v>
      </c>
      <c r="E1338" s="10" t="s">
        <v>19</v>
      </c>
      <c r="G1338" s="8">
        <v>45879</v>
      </c>
    </row>
    <row r="1339" spans="1:7" x14ac:dyDescent="0.3">
      <c r="A1339" t="s">
        <v>193</v>
      </c>
      <c r="B1339">
        <v>12</v>
      </c>
      <c r="C1339">
        <v>300</v>
      </c>
      <c r="D1339" s="2">
        <f t="shared" si="19"/>
        <v>3600</v>
      </c>
      <c r="E1339" s="10" t="s">
        <v>19</v>
      </c>
      <c r="G1339" s="8">
        <v>45879</v>
      </c>
    </row>
    <row r="1340" spans="1:7" x14ac:dyDescent="0.3">
      <c r="A1340" t="s">
        <v>199</v>
      </c>
      <c r="B1340">
        <v>12</v>
      </c>
      <c r="C1340">
        <v>270</v>
      </c>
      <c r="D1340" s="2">
        <f t="shared" si="19"/>
        <v>3240</v>
      </c>
      <c r="E1340" s="10" t="s">
        <v>19</v>
      </c>
      <c r="G1340" s="8">
        <v>45879</v>
      </c>
    </row>
    <row r="1341" spans="1:7" x14ac:dyDescent="0.3">
      <c r="A1341" t="s">
        <v>211</v>
      </c>
      <c r="B1341">
        <v>20</v>
      </c>
      <c r="C1341">
        <v>100</v>
      </c>
      <c r="D1341" s="2">
        <f t="shared" si="19"/>
        <v>2000</v>
      </c>
      <c r="E1341" s="10" t="s">
        <v>19</v>
      </c>
      <c r="G1341" s="8">
        <v>45879</v>
      </c>
    </row>
    <row r="1342" spans="1:7" x14ac:dyDescent="0.3">
      <c r="A1342" t="s">
        <v>217</v>
      </c>
      <c r="B1342">
        <v>40</v>
      </c>
      <c r="C1342">
        <v>470</v>
      </c>
      <c r="D1342" s="2">
        <f t="shared" si="19"/>
        <v>18800</v>
      </c>
      <c r="E1342" s="10" t="s">
        <v>19</v>
      </c>
      <c r="G1342" s="8">
        <v>45879</v>
      </c>
    </row>
    <row r="1343" spans="1:7" x14ac:dyDescent="0.3">
      <c r="A1343" t="s">
        <v>197</v>
      </c>
      <c r="B1343">
        <v>12</v>
      </c>
      <c r="C1343">
        <v>300</v>
      </c>
      <c r="D1343" s="2">
        <f t="shared" si="19"/>
        <v>3600</v>
      </c>
      <c r="E1343" s="10" t="s">
        <v>19</v>
      </c>
      <c r="G1343" s="8">
        <v>45879</v>
      </c>
    </row>
    <row r="1344" spans="1:7" x14ac:dyDescent="0.3">
      <c r="A1344" t="s">
        <v>219</v>
      </c>
      <c r="B1344">
        <v>18</v>
      </c>
      <c r="C1344">
        <v>210</v>
      </c>
      <c r="D1344" s="2">
        <f t="shared" si="19"/>
        <v>3780</v>
      </c>
      <c r="E1344" s="10" t="s">
        <v>19</v>
      </c>
      <c r="G1344" s="8">
        <v>45879</v>
      </c>
    </row>
    <row r="1345" spans="1:7" x14ac:dyDescent="0.3">
      <c r="A1345" t="s">
        <v>176</v>
      </c>
      <c r="B1345">
        <v>20</v>
      </c>
      <c r="C1345">
        <v>450</v>
      </c>
      <c r="D1345" s="2">
        <f t="shared" si="19"/>
        <v>9000</v>
      </c>
      <c r="E1345" s="10" t="s">
        <v>19</v>
      </c>
      <c r="G1345" s="8">
        <v>45879</v>
      </c>
    </row>
    <row r="1346" spans="1:7" x14ac:dyDescent="0.3">
      <c r="A1346" t="s">
        <v>208</v>
      </c>
      <c r="B1346">
        <v>2</v>
      </c>
      <c r="C1346">
        <v>750</v>
      </c>
      <c r="D1346" s="2">
        <f t="shared" si="19"/>
        <v>1500</v>
      </c>
      <c r="E1346" s="10" t="s">
        <v>19</v>
      </c>
      <c r="G1346" s="8">
        <v>45879</v>
      </c>
    </row>
    <row r="1347" spans="1:7" x14ac:dyDescent="0.3">
      <c r="A1347" t="s">
        <v>207</v>
      </c>
      <c r="B1347">
        <v>30</v>
      </c>
      <c r="C1347">
        <v>200</v>
      </c>
      <c r="D1347" s="2">
        <f t="shared" si="19"/>
        <v>6000</v>
      </c>
      <c r="E1347" s="10" t="s">
        <v>19</v>
      </c>
      <c r="G1347" s="8">
        <v>45879</v>
      </c>
    </row>
    <row r="1348" spans="1:7" x14ac:dyDescent="0.3">
      <c r="A1348" t="s">
        <v>151</v>
      </c>
      <c r="B1348">
        <v>42</v>
      </c>
      <c r="C1348">
        <v>130</v>
      </c>
      <c r="D1348" s="2">
        <f t="shared" ref="D1348:D1380" si="20">B1348*C1348</f>
        <v>5460</v>
      </c>
      <c r="E1348" s="10" t="s">
        <v>19</v>
      </c>
      <c r="G1348" s="8">
        <v>45879</v>
      </c>
    </row>
    <row r="1349" spans="1:7" x14ac:dyDescent="0.3">
      <c r="A1349" t="s">
        <v>196</v>
      </c>
      <c r="B1349">
        <v>12</v>
      </c>
      <c r="C1349">
        <v>270</v>
      </c>
      <c r="D1349" s="2">
        <f t="shared" si="20"/>
        <v>3240</v>
      </c>
      <c r="E1349" s="10" t="s">
        <v>19</v>
      </c>
      <c r="G1349" s="8">
        <v>45879</v>
      </c>
    </row>
    <row r="1350" spans="1:7" x14ac:dyDescent="0.3">
      <c r="A1350" s="10" t="s">
        <v>213</v>
      </c>
      <c r="B1350">
        <v>30</v>
      </c>
      <c r="C1350">
        <v>1490</v>
      </c>
      <c r="D1350" s="2">
        <f t="shared" si="20"/>
        <v>44700</v>
      </c>
      <c r="E1350" s="10" t="s">
        <v>220</v>
      </c>
      <c r="G1350" s="8">
        <v>45879</v>
      </c>
    </row>
    <row r="1351" spans="1:7" x14ac:dyDescent="0.3">
      <c r="A1351" s="10" t="s">
        <v>234</v>
      </c>
      <c r="B1351" s="10">
        <v>20</v>
      </c>
      <c r="C1351" s="10">
        <v>950</v>
      </c>
      <c r="D1351" s="11">
        <f>B1351*C1351</f>
        <v>19000</v>
      </c>
      <c r="E1351" s="10" t="s">
        <v>220</v>
      </c>
      <c r="F1351" s="10"/>
      <c r="G1351" s="8">
        <v>45879</v>
      </c>
    </row>
    <row r="1352" spans="1:7" x14ac:dyDescent="0.3">
      <c r="A1352" t="s">
        <v>185</v>
      </c>
      <c r="B1352">
        <v>8</v>
      </c>
      <c r="C1352">
        <v>950</v>
      </c>
      <c r="D1352" s="2">
        <f t="shared" si="20"/>
        <v>7600</v>
      </c>
      <c r="E1352" s="10" t="s">
        <v>220</v>
      </c>
      <c r="G1352" s="8">
        <v>45879</v>
      </c>
    </row>
    <row r="1353" spans="1:7" x14ac:dyDescent="0.3">
      <c r="A1353" t="s">
        <v>221</v>
      </c>
      <c r="B1353">
        <v>13</v>
      </c>
      <c r="C1353">
        <v>1550</v>
      </c>
      <c r="D1353" s="2">
        <f t="shared" si="20"/>
        <v>20150</v>
      </c>
      <c r="E1353" s="10" t="s">
        <v>220</v>
      </c>
      <c r="G1353" s="8">
        <v>45879</v>
      </c>
    </row>
    <row r="1354" spans="1:7" x14ac:dyDescent="0.3">
      <c r="A1354" t="s">
        <v>176</v>
      </c>
      <c r="B1354">
        <v>22</v>
      </c>
      <c r="C1354">
        <v>750</v>
      </c>
      <c r="D1354" s="2">
        <f t="shared" si="20"/>
        <v>16500</v>
      </c>
      <c r="E1354" s="10" t="s">
        <v>220</v>
      </c>
      <c r="G1354" s="8">
        <v>45879</v>
      </c>
    </row>
    <row r="1355" spans="1:7" x14ac:dyDescent="0.3">
      <c r="A1355" t="s">
        <v>194</v>
      </c>
      <c r="B1355">
        <v>11</v>
      </c>
      <c r="C1355">
        <v>1600</v>
      </c>
      <c r="D1355" s="2">
        <f t="shared" si="20"/>
        <v>17600</v>
      </c>
      <c r="E1355" s="10" t="s">
        <v>220</v>
      </c>
      <c r="G1355" s="8">
        <v>45879</v>
      </c>
    </row>
    <row r="1356" spans="1:7" x14ac:dyDescent="0.3">
      <c r="A1356" t="s">
        <v>174</v>
      </c>
      <c r="B1356">
        <v>40</v>
      </c>
      <c r="C1356">
        <v>750</v>
      </c>
      <c r="D1356" s="2">
        <f t="shared" si="20"/>
        <v>30000</v>
      </c>
      <c r="E1356" s="10" t="s">
        <v>220</v>
      </c>
      <c r="G1356" s="8">
        <v>45879</v>
      </c>
    </row>
    <row r="1357" spans="1:7" x14ac:dyDescent="0.3">
      <c r="A1357" t="s">
        <v>230</v>
      </c>
      <c r="B1357">
        <v>24</v>
      </c>
      <c r="C1357">
        <v>340</v>
      </c>
      <c r="D1357" s="2">
        <f t="shared" si="20"/>
        <v>8160</v>
      </c>
      <c r="E1357" s="10" t="s">
        <v>220</v>
      </c>
      <c r="G1357" s="8">
        <v>45879</v>
      </c>
    </row>
    <row r="1358" spans="1:7" x14ac:dyDescent="0.3">
      <c r="A1358" t="s">
        <v>229</v>
      </c>
      <c r="B1358">
        <v>20</v>
      </c>
      <c r="C1358">
        <v>280</v>
      </c>
      <c r="D1358" s="2">
        <f t="shared" si="20"/>
        <v>5600</v>
      </c>
      <c r="E1358" s="10" t="s">
        <v>220</v>
      </c>
      <c r="G1358" s="8">
        <v>45879</v>
      </c>
    </row>
    <row r="1359" spans="1:7" x14ac:dyDescent="0.3">
      <c r="A1359" t="s">
        <v>198</v>
      </c>
      <c r="B1359">
        <v>20</v>
      </c>
      <c r="C1359">
        <v>290</v>
      </c>
      <c r="D1359" s="2">
        <f t="shared" si="20"/>
        <v>5800</v>
      </c>
      <c r="E1359" s="10" t="s">
        <v>220</v>
      </c>
      <c r="G1359" s="8">
        <v>45879</v>
      </c>
    </row>
    <row r="1360" spans="1:7" x14ac:dyDescent="0.3">
      <c r="A1360" t="s">
        <v>73</v>
      </c>
      <c r="B1360">
        <v>24</v>
      </c>
      <c r="C1360">
        <v>250</v>
      </c>
      <c r="D1360" s="2">
        <f t="shared" si="20"/>
        <v>6000</v>
      </c>
      <c r="E1360" s="10" t="s">
        <v>220</v>
      </c>
      <c r="G1360" s="8">
        <v>45879</v>
      </c>
    </row>
    <row r="1361" spans="1:7" x14ac:dyDescent="0.3">
      <c r="A1361" t="s">
        <v>200</v>
      </c>
      <c r="B1361">
        <v>24</v>
      </c>
      <c r="C1361">
        <v>350</v>
      </c>
      <c r="D1361" s="2">
        <f t="shared" si="20"/>
        <v>8400</v>
      </c>
      <c r="E1361" s="10" t="s">
        <v>220</v>
      </c>
      <c r="G1361" s="8">
        <v>45879</v>
      </c>
    </row>
    <row r="1362" spans="1:7" x14ac:dyDescent="0.3">
      <c r="A1362" t="s">
        <v>196</v>
      </c>
      <c r="B1362">
        <v>36</v>
      </c>
      <c r="C1362">
        <v>320</v>
      </c>
      <c r="D1362" s="2">
        <f t="shared" si="20"/>
        <v>11520</v>
      </c>
      <c r="E1362" s="10" t="s">
        <v>220</v>
      </c>
      <c r="G1362" s="8">
        <v>45879</v>
      </c>
    </row>
    <row r="1363" spans="1:7" x14ac:dyDescent="0.3">
      <c r="A1363" t="s">
        <v>160</v>
      </c>
      <c r="B1363">
        <v>20</v>
      </c>
      <c r="C1363">
        <v>370</v>
      </c>
      <c r="D1363" s="2">
        <f t="shared" si="20"/>
        <v>7400</v>
      </c>
      <c r="E1363" s="10" t="s">
        <v>220</v>
      </c>
      <c r="G1363" s="8">
        <v>45879</v>
      </c>
    </row>
    <row r="1364" spans="1:7" x14ac:dyDescent="0.3">
      <c r="A1364" t="s">
        <v>161</v>
      </c>
      <c r="B1364">
        <v>20</v>
      </c>
      <c r="C1364">
        <v>370</v>
      </c>
      <c r="D1364" s="2">
        <f t="shared" si="20"/>
        <v>7400</v>
      </c>
      <c r="E1364" s="10" t="s">
        <v>220</v>
      </c>
      <c r="G1364" s="8">
        <v>45879</v>
      </c>
    </row>
    <row r="1365" spans="1:7" x14ac:dyDescent="0.3">
      <c r="A1365" t="s">
        <v>204</v>
      </c>
      <c r="B1365">
        <v>24</v>
      </c>
      <c r="C1365">
        <v>550</v>
      </c>
      <c r="D1365" s="2">
        <f t="shared" si="20"/>
        <v>13200</v>
      </c>
      <c r="E1365" s="10" t="s">
        <v>220</v>
      </c>
      <c r="G1365" s="8">
        <v>45879</v>
      </c>
    </row>
    <row r="1366" spans="1:7" x14ac:dyDescent="0.3">
      <c r="A1366" t="s">
        <v>180</v>
      </c>
      <c r="B1366">
        <v>24</v>
      </c>
      <c r="C1366">
        <v>280</v>
      </c>
      <c r="D1366" s="2">
        <f t="shared" si="20"/>
        <v>6720</v>
      </c>
      <c r="E1366" s="10" t="s">
        <v>220</v>
      </c>
      <c r="G1366" s="8">
        <v>45879</v>
      </c>
    </row>
    <row r="1367" spans="1:7" x14ac:dyDescent="0.3">
      <c r="A1367" t="s">
        <v>183</v>
      </c>
      <c r="B1367">
        <v>36</v>
      </c>
      <c r="C1367">
        <v>950</v>
      </c>
      <c r="D1367" s="2">
        <f t="shared" si="20"/>
        <v>34200</v>
      </c>
      <c r="E1367" s="10" t="s">
        <v>220</v>
      </c>
      <c r="G1367" s="8">
        <v>45879</v>
      </c>
    </row>
    <row r="1368" spans="1:7" x14ac:dyDescent="0.3">
      <c r="A1368" t="s">
        <v>179</v>
      </c>
      <c r="B1368">
        <v>30</v>
      </c>
      <c r="C1368">
        <v>330</v>
      </c>
      <c r="D1368" s="2">
        <f t="shared" si="20"/>
        <v>9900</v>
      </c>
      <c r="E1368" s="10" t="s">
        <v>220</v>
      </c>
      <c r="G1368" s="8">
        <v>45879</v>
      </c>
    </row>
    <row r="1369" spans="1:7" x14ac:dyDescent="0.3">
      <c r="A1369" t="s">
        <v>65</v>
      </c>
      <c r="B1369">
        <v>36</v>
      </c>
      <c r="C1369">
        <v>350</v>
      </c>
      <c r="D1369" s="2">
        <f t="shared" si="20"/>
        <v>12600</v>
      </c>
      <c r="E1369" s="10" t="s">
        <v>220</v>
      </c>
      <c r="G1369" s="8">
        <v>45879</v>
      </c>
    </row>
    <row r="1370" spans="1:7" x14ac:dyDescent="0.3">
      <c r="A1370" t="s">
        <v>201</v>
      </c>
      <c r="B1370">
        <v>48</v>
      </c>
      <c r="C1370">
        <v>700</v>
      </c>
      <c r="D1370" s="2">
        <f t="shared" si="20"/>
        <v>33600</v>
      </c>
      <c r="E1370" s="10" t="s">
        <v>220</v>
      </c>
      <c r="G1370" s="8">
        <v>45879</v>
      </c>
    </row>
    <row r="1371" spans="1:7" x14ac:dyDescent="0.3">
      <c r="A1371" t="s">
        <v>187</v>
      </c>
      <c r="B1371">
        <v>84</v>
      </c>
      <c r="C1371">
        <v>135</v>
      </c>
      <c r="D1371" s="2">
        <f t="shared" si="20"/>
        <v>11340</v>
      </c>
      <c r="E1371" s="10" t="s">
        <v>220</v>
      </c>
      <c r="G1371" s="8">
        <v>45879</v>
      </c>
    </row>
    <row r="1372" spans="1:7" x14ac:dyDescent="0.3">
      <c r="A1372" t="s">
        <v>192</v>
      </c>
      <c r="B1372">
        <v>12</v>
      </c>
      <c r="C1372">
        <v>450</v>
      </c>
      <c r="D1372" s="2">
        <f t="shared" si="20"/>
        <v>5400</v>
      </c>
      <c r="E1372" s="10" t="s">
        <v>220</v>
      </c>
      <c r="G1372" s="8">
        <v>45879</v>
      </c>
    </row>
    <row r="1373" spans="1:7" x14ac:dyDescent="0.3">
      <c r="A1373" t="s">
        <v>222</v>
      </c>
      <c r="B1373">
        <v>40</v>
      </c>
      <c r="C1373">
        <v>200</v>
      </c>
      <c r="D1373" s="2">
        <f t="shared" si="20"/>
        <v>8000</v>
      </c>
      <c r="E1373" s="10" t="s">
        <v>220</v>
      </c>
      <c r="G1373" s="8">
        <v>45879</v>
      </c>
    </row>
    <row r="1374" spans="1:7" x14ac:dyDescent="0.3">
      <c r="A1374" t="s">
        <v>207</v>
      </c>
      <c r="B1374">
        <v>60</v>
      </c>
      <c r="C1374">
        <v>200</v>
      </c>
      <c r="D1374" s="2">
        <f t="shared" si="20"/>
        <v>12000</v>
      </c>
      <c r="E1374" s="10" t="s">
        <v>220</v>
      </c>
      <c r="G1374" s="8">
        <v>45879</v>
      </c>
    </row>
    <row r="1375" spans="1:7" x14ac:dyDescent="0.3">
      <c r="A1375" t="s">
        <v>203</v>
      </c>
      <c r="B1375">
        <v>40</v>
      </c>
      <c r="C1375">
        <v>450</v>
      </c>
      <c r="D1375" s="2">
        <f t="shared" si="20"/>
        <v>18000</v>
      </c>
      <c r="E1375" s="10" t="s">
        <v>220</v>
      </c>
      <c r="G1375" s="8">
        <v>45879</v>
      </c>
    </row>
    <row r="1376" spans="1:7" x14ac:dyDescent="0.3">
      <c r="A1376" t="s">
        <v>168</v>
      </c>
      <c r="B1376">
        <v>40</v>
      </c>
      <c r="C1376">
        <v>450</v>
      </c>
      <c r="D1376" s="2">
        <f t="shared" si="20"/>
        <v>18000</v>
      </c>
      <c r="E1376" s="10" t="s">
        <v>220</v>
      </c>
      <c r="G1376" s="8">
        <v>45879</v>
      </c>
    </row>
    <row r="1377" spans="1:7" x14ac:dyDescent="0.3">
      <c r="A1377" t="s">
        <v>151</v>
      </c>
      <c r="B1377">
        <v>42</v>
      </c>
      <c r="C1377">
        <v>145</v>
      </c>
      <c r="D1377" s="2">
        <f t="shared" si="20"/>
        <v>6090</v>
      </c>
      <c r="E1377" s="10" t="s">
        <v>220</v>
      </c>
      <c r="G1377" s="8">
        <v>45879</v>
      </c>
    </row>
    <row r="1378" spans="1:7" x14ac:dyDescent="0.3">
      <c r="A1378" t="s">
        <v>217</v>
      </c>
      <c r="B1378">
        <v>70</v>
      </c>
      <c r="C1378">
        <v>550</v>
      </c>
      <c r="D1378" s="2">
        <f t="shared" si="20"/>
        <v>38500</v>
      </c>
      <c r="E1378" s="10" t="s">
        <v>220</v>
      </c>
      <c r="G1378" s="8">
        <v>45879</v>
      </c>
    </row>
    <row r="1379" spans="1:7" x14ac:dyDescent="0.3">
      <c r="A1379" t="s">
        <v>197</v>
      </c>
      <c r="B1379">
        <v>12</v>
      </c>
      <c r="C1379">
        <v>300</v>
      </c>
      <c r="D1379" s="2">
        <f t="shared" si="20"/>
        <v>3600</v>
      </c>
      <c r="E1379" s="10" t="s">
        <v>220</v>
      </c>
      <c r="G1379" s="8">
        <v>45879</v>
      </c>
    </row>
    <row r="1380" spans="1:7" x14ac:dyDescent="0.3">
      <c r="A1380" t="s">
        <v>219</v>
      </c>
      <c r="B1380">
        <v>30</v>
      </c>
      <c r="C1380">
        <v>250</v>
      </c>
      <c r="D1380" s="2">
        <f t="shared" si="20"/>
        <v>7500</v>
      </c>
      <c r="E1380" s="10" t="s">
        <v>220</v>
      </c>
      <c r="G1380" s="8">
        <v>45879</v>
      </c>
    </row>
    <row r="1381" spans="1:7" x14ac:dyDescent="0.3">
      <c r="A1381" t="s">
        <v>211</v>
      </c>
      <c r="B1381">
        <v>40</v>
      </c>
      <c r="C1381">
        <v>130</v>
      </c>
      <c r="D1381" s="2">
        <f t="shared" ref="D1381:D1415" si="21">B1381*C1381</f>
        <v>5200</v>
      </c>
      <c r="E1381" s="10" t="s">
        <v>220</v>
      </c>
      <c r="G1381" s="8">
        <v>45879</v>
      </c>
    </row>
    <row r="1382" spans="1:7" x14ac:dyDescent="0.3">
      <c r="A1382" t="s">
        <v>223</v>
      </c>
      <c r="B1382">
        <v>24</v>
      </c>
      <c r="C1382">
        <v>150</v>
      </c>
      <c r="D1382" s="2">
        <f t="shared" si="21"/>
        <v>3600</v>
      </c>
      <c r="E1382" s="10" t="s">
        <v>220</v>
      </c>
      <c r="G1382" s="8">
        <v>45879</v>
      </c>
    </row>
    <row r="1383" spans="1:7" x14ac:dyDescent="0.3">
      <c r="A1383" t="s">
        <v>212</v>
      </c>
      <c r="B1383">
        <v>100</v>
      </c>
      <c r="C1383">
        <v>170</v>
      </c>
      <c r="D1383" s="2">
        <f t="shared" si="21"/>
        <v>17000</v>
      </c>
      <c r="E1383" s="10" t="s">
        <v>220</v>
      </c>
      <c r="G1383" s="8">
        <v>45879</v>
      </c>
    </row>
    <row r="1384" spans="1:7" x14ac:dyDescent="0.3">
      <c r="A1384" t="s">
        <v>193</v>
      </c>
      <c r="B1384">
        <v>12</v>
      </c>
      <c r="C1384">
        <v>400</v>
      </c>
      <c r="D1384" s="2">
        <f t="shared" si="21"/>
        <v>4800</v>
      </c>
      <c r="E1384" s="10" t="s">
        <v>220</v>
      </c>
      <c r="G1384" s="8">
        <v>45879</v>
      </c>
    </row>
    <row r="1385" spans="1:7" x14ac:dyDescent="0.3">
      <c r="A1385" t="s">
        <v>199</v>
      </c>
      <c r="B1385">
        <v>12</v>
      </c>
      <c r="C1385">
        <v>400</v>
      </c>
      <c r="D1385" s="2">
        <f t="shared" si="21"/>
        <v>4800</v>
      </c>
      <c r="E1385" s="10" t="s">
        <v>220</v>
      </c>
      <c r="G1385" s="8">
        <v>45879</v>
      </c>
    </row>
    <row r="1386" spans="1:7" x14ac:dyDescent="0.3">
      <c r="A1386" t="s">
        <v>165</v>
      </c>
      <c r="B1386">
        <v>20</v>
      </c>
      <c r="C1386">
        <v>220</v>
      </c>
      <c r="D1386" s="2">
        <f t="shared" si="21"/>
        <v>4400</v>
      </c>
      <c r="E1386" s="10" t="s">
        <v>220</v>
      </c>
      <c r="G1386" s="8">
        <v>45879</v>
      </c>
    </row>
    <row r="1387" spans="1:7" x14ac:dyDescent="0.3">
      <c r="A1387" t="s">
        <v>217</v>
      </c>
      <c r="B1387">
        <v>40</v>
      </c>
      <c r="C1387">
        <v>550</v>
      </c>
      <c r="D1387" s="2">
        <f t="shared" si="21"/>
        <v>22000</v>
      </c>
      <c r="E1387" s="10" t="s">
        <v>220</v>
      </c>
      <c r="G1387" s="8">
        <v>45879</v>
      </c>
    </row>
    <row r="1388" spans="1:7" x14ac:dyDescent="0.3">
      <c r="A1388" s="9" t="s">
        <v>224</v>
      </c>
      <c r="B1388">
        <v>20</v>
      </c>
      <c r="C1388">
        <v>100</v>
      </c>
      <c r="D1388" s="2">
        <f t="shared" si="21"/>
        <v>2000</v>
      </c>
      <c r="E1388" s="10" t="s">
        <v>220</v>
      </c>
      <c r="G1388" s="8">
        <v>45879</v>
      </c>
    </row>
    <row r="1389" spans="1:7" x14ac:dyDescent="0.3">
      <c r="A1389" t="s">
        <v>194</v>
      </c>
      <c r="B1389">
        <v>5</v>
      </c>
      <c r="C1389">
        <v>1600</v>
      </c>
      <c r="D1389" s="2">
        <f t="shared" si="21"/>
        <v>8000</v>
      </c>
      <c r="E1389" s="10" t="s">
        <v>220</v>
      </c>
      <c r="G1389" s="8">
        <v>45879</v>
      </c>
    </row>
    <row r="1390" spans="1:7" x14ac:dyDescent="0.3">
      <c r="A1390" t="s">
        <v>221</v>
      </c>
      <c r="B1390">
        <v>5</v>
      </c>
      <c r="C1390">
        <v>1550</v>
      </c>
      <c r="D1390" s="2">
        <f t="shared" si="21"/>
        <v>7750</v>
      </c>
      <c r="E1390" s="10" t="s">
        <v>220</v>
      </c>
      <c r="G1390" s="8">
        <v>45879</v>
      </c>
    </row>
    <row r="1391" spans="1:7" x14ac:dyDescent="0.3">
      <c r="A1391" t="s">
        <v>154</v>
      </c>
      <c r="B1391">
        <v>2</v>
      </c>
      <c r="C1391">
        <v>220</v>
      </c>
      <c r="D1391" s="2">
        <f t="shared" si="21"/>
        <v>440</v>
      </c>
      <c r="E1391" s="10" t="s">
        <v>7</v>
      </c>
      <c r="G1391" s="8">
        <v>45879</v>
      </c>
    </row>
    <row r="1392" spans="1:7" x14ac:dyDescent="0.3">
      <c r="A1392" t="s">
        <v>165</v>
      </c>
      <c r="B1392">
        <v>1</v>
      </c>
      <c r="C1392">
        <v>200</v>
      </c>
      <c r="D1392" s="2">
        <f t="shared" si="21"/>
        <v>200</v>
      </c>
      <c r="E1392" s="10" t="s">
        <v>7</v>
      </c>
      <c r="G1392" s="8">
        <v>45879</v>
      </c>
    </row>
    <row r="1393" spans="1:7" x14ac:dyDescent="0.3">
      <c r="A1393" t="s">
        <v>218</v>
      </c>
      <c r="B1393">
        <v>1</v>
      </c>
      <c r="C1393">
        <v>50</v>
      </c>
      <c r="D1393" s="2">
        <f>B1393*C1393</f>
        <v>50</v>
      </c>
      <c r="E1393" s="10" t="s">
        <v>7</v>
      </c>
      <c r="G1393" s="8">
        <v>45880</v>
      </c>
    </row>
    <row r="1394" spans="1:7" x14ac:dyDescent="0.3">
      <c r="A1394" t="s">
        <v>154</v>
      </c>
      <c r="B1394">
        <v>1</v>
      </c>
      <c r="C1394">
        <v>220</v>
      </c>
      <c r="D1394" s="2">
        <f t="shared" si="21"/>
        <v>220</v>
      </c>
      <c r="E1394" s="10" t="s">
        <v>7</v>
      </c>
      <c r="G1394" s="8">
        <v>45880</v>
      </c>
    </row>
    <row r="1395" spans="1:7" x14ac:dyDescent="0.3">
      <c r="A1395" t="s">
        <v>173</v>
      </c>
      <c r="B1395">
        <v>2</v>
      </c>
      <c r="C1395">
        <v>125</v>
      </c>
      <c r="D1395" s="2">
        <f t="shared" si="21"/>
        <v>250</v>
      </c>
      <c r="E1395" s="10" t="s">
        <v>7</v>
      </c>
      <c r="G1395" s="8">
        <v>45880</v>
      </c>
    </row>
    <row r="1396" spans="1:7" x14ac:dyDescent="0.3">
      <c r="A1396" t="s">
        <v>168</v>
      </c>
      <c r="B1396">
        <v>1</v>
      </c>
      <c r="C1396">
        <v>320</v>
      </c>
      <c r="D1396" s="2">
        <f t="shared" si="21"/>
        <v>320</v>
      </c>
      <c r="E1396" s="10" t="s">
        <v>7</v>
      </c>
      <c r="G1396" s="8">
        <v>45880</v>
      </c>
    </row>
    <row r="1397" spans="1:7" x14ac:dyDescent="0.3">
      <c r="A1397" t="s">
        <v>174</v>
      </c>
      <c r="B1397">
        <v>0.2</v>
      </c>
      <c r="C1397">
        <v>700</v>
      </c>
      <c r="D1397" s="2">
        <f t="shared" si="21"/>
        <v>140</v>
      </c>
      <c r="E1397" s="10" t="s">
        <v>7</v>
      </c>
      <c r="G1397" s="8">
        <v>45881</v>
      </c>
    </row>
    <row r="1398" spans="1:7" x14ac:dyDescent="0.3">
      <c r="A1398" t="s">
        <v>212</v>
      </c>
      <c r="B1398">
        <v>1</v>
      </c>
      <c r="C1398">
        <v>200</v>
      </c>
      <c r="D1398" s="2">
        <f t="shared" si="21"/>
        <v>200</v>
      </c>
      <c r="E1398" s="10" t="s">
        <v>7</v>
      </c>
      <c r="G1398" s="8">
        <v>45881</v>
      </c>
    </row>
    <row r="1399" spans="1:7" x14ac:dyDescent="0.3">
      <c r="A1399" t="s">
        <v>166</v>
      </c>
      <c r="B1399">
        <v>1</v>
      </c>
      <c r="C1399">
        <v>60</v>
      </c>
      <c r="D1399" s="2">
        <f t="shared" si="21"/>
        <v>60</v>
      </c>
      <c r="E1399" s="10" t="s">
        <v>7</v>
      </c>
      <c r="G1399" s="8">
        <v>45882</v>
      </c>
    </row>
    <row r="1400" spans="1:7" x14ac:dyDescent="0.3">
      <c r="A1400" t="s">
        <v>174</v>
      </c>
      <c r="B1400">
        <v>0.1</v>
      </c>
      <c r="C1400">
        <v>700</v>
      </c>
      <c r="D1400" s="2">
        <f t="shared" si="21"/>
        <v>70</v>
      </c>
      <c r="E1400" s="10" t="s">
        <v>7</v>
      </c>
      <c r="G1400" s="8">
        <v>45882</v>
      </c>
    </row>
    <row r="1401" spans="1:7" x14ac:dyDescent="0.3">
      <c r="A1401" t="s">
        <v>160</v>
      </c>
      <c r="B1401">
        <v>1</v>
      </c>
      <c r="C1401">
        <v>200</v>
      </c>
      <c r="D1401" s="2">
        <f t="shared" si="21"/>
        <v>200</v>
      </c>
      <c r="E1401" s="10" t="s">
        <v>7</v>
      </c>
      <c r="G1401" s="8">
        <v>45883</v>
      </c>
    </row>
    <row r="1402" spans="1:7" x14ac:dyDescent="0.3">
      <c r="A1402" t="s">
        <v>161</v>
      </c>
      <c r="B1402">
        <v>3</v>
      </c>
      <c r="C1402">
        <v>200</v>
      </c>
      <c r="D1402" s="2">
        <f t="shared" si="21"/>
        <v>600</v>
      </c>
      <c r="E1402" s="10" t="s">
        <v>7</v>
      </c>
      <c r="G1402" s="8">
        <v>45883</v>
      </c>
    </row>
    <row r="1403" spans="1:7" x14ac:dyDescent="0.3">
      <c r="A1403" t="s">
        <v>169</v>
      </c>
      <c r="B1403">
        <v>1</v>
      </c>
      <c r="C1403">
        <v>90</v>
      </c>
      <c r="D1403" s="2">
        <f t="shared" si="21"/>
        <v>90</v>
      </c>
      <c r="E1403" s="10" t="s">
        <v>7</v>
      </c>
      <c r="G1403" s="8">
        <v>45885</v>
      </c>
    </row>
    <row r="1404" spans="1:7" x14ac:dyDescent="0.3">
      <c r="A1404" t="s">
        <v>154</v>
      </c>
      <c r="B1404">
        <v>1</v>
      </c>
      <c r="C1404">
        <v>250</v>
      </c>
      <c r="D1404" s="2">
        <f t="shared" si="21"/>
        <v>250</v>
      </c>
      <c r="E1404" s="10" t="s">
        <v>7</v>
      </c>
      <c r="G1404" s="8">
        <v>45885</v>
      </c>
    </row>
    <row r="1405" spans="1:7" x14ac:dyDescent="0.3">
      <c r="A1405" t="s">
        <v>164</v>
      </c>
      <c r="B1405">
        <v>1</v>
      </c>
      <c r="C1405">
        <v>50</v>
      </c>
      <c r="D1405" s="2">
        <f t="shared" si="21"/>
        <v>50</v>
      </c>
      <c r="E1405" s="10" t="s">
        <v>7</v>
      </c>
      <c r="G1405" s="8">
        <v>45885</v>
      </c>
    </row>
    <row r="1406" spans="1:7" x14ac:dyDescent="0.3">
      <c r="A1406" t="s">
        <v>166</v>
      </c>
      <c r="B1406">
        <v>1</v>
      </c>
      <c r="C1406">
        <v>50</v>
      </c>
      <c r="D1406" s="2">
        <f t="shared" si="21"/>
        <v>50</v>
      </c>
      <c r="E1406" s="10" t="s">
        <v>7</v>
      </c>
      <c r="G1406" s="8">
        <v>45885</v>
      </c>
    </row>
    <row r="1407" spans="1:7" x14ac:dyDescent="0.3">
      <c r="A1407" t="s">
        <v>168</v>
      </c>
      <c r="B1407">
        <v>1</v>
      </c>
      <c r="C1407">
        <v>350</v>
      </c>
      <c r="D1407" s="2">
        <f t="shared" si="21"/>
        <v>350</v>
      </c>
      <c r="E1407" s="10" t="s">
        <v>7</v>
      </c>
      <c r="G1407" s="8">
        <v>45885</v>
      </c>
    </row>
    <row r="1408" spans="1:7" x14ac:dyDescent="0.3">
      <c r="A1408" t="s">
        <v>236</v>
      </c>
      <c r="B1408">
        <v>2</v>
      </c>
      <c r="C1408">
        <v>200</v>
      </c>
      <c r="D1408" s="2">
        <f>B1408*C1408</f>
        <v>400</v>
      </c>
      <c r="E1408" s="10" t="s">
        <v>7</v>
      </c>
      <c r="G1408" s="8">
        <v>45886</v>
      </c>
    </row>
    <row r="1409" spans="1:7" x14ac:dyDescent="0.3">
      <c r="A1409" t="s">
        <v>166</v>
      </c>
      <c r="B1409">
        <v>2</v>
      </c>
      <c r="C1409">
        <v>50</v>
      </c>
      <c r="D1409" s="2">
        <f t="shared" si="21"/>
        <v>100</v>
      </c>
      <c r="E1409" s="10" t="s">
        <v>7</v>
      </c>
      <c r="G1409" s="8">
        <v>45886</v>
      </c>
    </row>
    <row r="1410" spans="1:7" x14ac:dyDescent="0.3">
      <c r="A1410" t="s">
        <v>171</v>
      </c>
      <c r="B1410">
        <v>1</v>
      </c>
      <c r="C1410">
        <v>100</v>
      </c>
      <c r="D1410" s="2">
        <f t="shared" si="21"/>
        <v>100</v>
      </c>
      <c r="E1410" s="10" t="s">
        <v>7</v>
      </c>
      <c r="G1410" s="8">
        <v>45886</v>
      </c>
    </row>
    <row r="1411" spans="1:7" x14ac:dyDescent="0.3">
      <c r="A1411" t="s">
        <v>173</v>
      </c>
      <c r="B1411">
        <v>1</v>
      </c>
      <c r="C1411">
        <v>140</v>
      </c>
      <c r="D1411" s="2">
        <f t="shared" si="21"/>
        <v>140</v>
      </c>
      <c r="E1411" s="10" t="s">
        <v>7</v>
      </c>
      <c r="G1411" s="8">
        <v>45886</v>
      </c>
    </row>
    <row r="1412" spans="1:7" x14ac:dyDescent="0.3">
      <c r="A1412" t="s">
        <v>218</v>
      </c>
      <c r="B1412">
        <v>2</v>
      </c>
      <c r="C1412">
        <v>50</v>
      </c>
      <c r="D1412" s="2">
        <f>B1412*C1412</f>
        <v>100</v>
      </c>
      <c r="E1412" s="10" t="s">
        <v>7</v>
      </c>
      <c r="G1412" s="8">
        <v>45887</v>
      </c>
    </row>
    <row r="1413" spans="1:7" x14ac:dyDescent="0.3">
      <c r="A1413" t="s">
        <v>172</v>
      </c>
      <c r="B1413">
        <v>1</v>
      </c>
      <c r="C1413">
        <v>250</v>
      </c>
      <c r="D1413" s="2">
        <f t="shared" si="21"/>
        <v>250</v>
      </c>
      <c r="E1413" s="10" t="s">
        <v>7</v>
      </c>
      <c r="G1413" s="8">
        <v>45887</v>
      </c>
    </row>
    <row r="1414" spans="1:7" x14ac:dyDescent="0.3">
      <c r="A1414" t="s">
        <v>162</v>
      </c>
      <c r="B1414">
        <v>1</v>
      </c>
      <c r="C1414">
        <v>20</v>
      </c>
      <c r="D1414" s="2">
        <f t="shared" si="21"/>
        <v>20</v>
      </c>
      <c r="E1414" s="10" t="s">
        <v>7</v>
      </c>
      <c r="G1414" s="8">
        <v>45887</v>
      </c>
    </row>
    <row r="1415" spans="1:7" x14ac:dyDescent="0.3">
      <c r="A1415" t="s">
        <v>171</v>
      </c>
      <c r="B1415">
        <v>1</v>
      </c>
      <c r="C1415">
        <v>100</v>
      </c>
      <c r="D1415" s="2">
        <f t="shared" si="21"/>
        <v>100</v>
      </c>
      <c r="E1415" s="10" t="s">
        <v>7</v>
      </c>
      <c r="G1415" s="8">
        <v>45887</v>
      </c>
    </row>
    <row r="1416" spans="1:7" x14ac:dyDescent="0.3">
      <c r="A1416" t="s">
        <v>166</v>
      </c>
      <c r="B1416">
        <v>1</v>
      </c>
      <c r="C1416">
        <v>50</v>
      </c>
      <c r="D1416" s="2">
        <f t="shared" ref="D1416:D1451" si="22">B1416*C1416</f>
        <v>50</v>
      </c>
      <c r="E1416" s="10" t="s">
        <v>7</v>
      </c>
      <c r="G1416" s="8">
        <v>45887</v>
      </c>
    </row>
    <row r="1417" spans="1:7" x14ac:dyDescent="0.3">
      <c r="A1417" t="s">
        <v>155</v>
      </c>
      <c r="B1417">
        <v>2</v>
      </c>
      <c r="C1417">
        <v>300</v>
      </c>
      <c r="D1417" s="2">
        <f t="shared" si="22"/>
        <v>600</v>
      </c>
      <c r="E1417" s="10" t="s">
        <v>7</v>
      </c>
      <c r="G1417" s="8">
        <v>45888</v>
      </c>
    </row>
    <row r="1418" spans="1:7" x14ac:dyDescent="0.3">
      <c r="A1418" t="s">
        <v>236</v>
      </c>
      <c r="B1418">
        <v>2</v>
      </c>
      <c r="C1418">
        <v>185</v>
      </c>
      <c r="D1418" s="2">
        <f>B1418*C1418</f>
        <v>370</v>
      </c>
      <c r="E1418" s="10" t="s">
        <v>7</v>
      </c>
      <c r="G1418" s="8">
        <v>45890</v>
      </c>
    </row>
    <row r="1419" spans="1:7" x14ac:dyDescent="0.3">
      <c r="A1419" t="s">
        <v>122</v>
      </c>
      <c r="B1419">
        <v>1</v>
      </c>
      <c r="C1419">
        <v>700</v>
      </c>
      <c r="D1419" s="2">
        <f t="shared" si="22"/>
        <v>700</v>
      </c>
      <c r="E1419" s="10" t="s">
        <v>7</v>
      </c>
      <c r="G1419" s="8">
        <v>45890</v>
      </c>
    </row>
    <row r="1420" spans="1:7" x14ac:dyDescent="0.3">
      <c r="A1420" t="s">
        <v>170</v>
      </c>
      <c r="B1420">
        <v>1</v>
      </c>
      <c r="C1420">
        <v>150</v>
      </c>
      <c r="D1420" s="2">
        <f t="shared" si="22"/>
        <v>150</v>
      </c>
      <c r="E1420" s="10" t="s">
        <v>7</v>
      </c>
      <c r="G1420" s="8">
        <v>45890</v>
      </c>
    </row>
    <row r="1421" spans="1:7" x14ac:dyDescent="0.3">
      <c r="A1421" t="s">
        <v>164</v>
      </c>
      <c r="B1421">
        <v>1</v>
      </c>
      <c r="C1421">
        <v>50</v>
      </c>
      <c r="D1421" s="2">
        <f t="shared" si="22"/>
        <v>50</v>
      </c>
      <c r="E1421" s="10" t="s">
        <v>7</v>
      </c>
      <c r="G1421" s="8">
        <v>45890</v>
      </c>
    </row>
    <row r="1422" spans="1:7" x14ac:dyDescent="0.3">
      <c r="A1422" t="s">
        <v>236</v>
      </c>
      <c r="B1422">
        <v>1</v>
      </c>
      <c r="C1422">
        <v>220</v>
      </c>
      <c r="D1422" s="2">
        <f>B1422*C1422</f>
        <v>220</v>
      </c>
      <c r="E1422" s="10" t="s">
        <v>7</v>
      </c>
      <c r="G1422" s="8">
        <v>45892</v>
      </c>
    </row>
    <row r="1423" spans="1:7" x14ac:dyDescent="0.3">
      <c r="A1423" t="s">
        <v>169</v>
      </c>
      <c r="B1423">
        <v>2</v>
      </c>
      <c r="C1423">
        <v>100</v>
      </c>
      <c r="D1423" s="2">
        <f t="shared" si="22"/>
        <v>200</v>
      </c>
      <c r="E1423" s="10" t="s">
        <v>7</v>
      </c>
      <c r="G1423" s="8">
        <v>45892</v>
      </c>
    </row>
    <row r="1424" spans="1:7" x14ac:dyDescent="0.3">
      <c r="A1424" t="s">
        <v>168</v>
      </c>
      <c r="B1424">
        <v>1</v>
      </c>
      <c r="C1424">
        <v>350</v>
      </c>
      <c r="D1424" s="2">
        <f t="shared" si="22"/>
        <v>350</v>
      </c>
      <c r="E1424" s="10" t="s">
        <v>7</v>
      </c>
      <c r="G1424" s="8">
        <v>45892</v>
      </c>
    </row>
    <row r="1425" spans="1:7" x14ac:dyDescent="0.3">
      <c r="A1425" t="s">
        <v>164</v>
      </c>
      <c r="B1425">
        <v>1</v>
      </c>
      <c r="C1425">
        <v>50</v>
      </c>
      <c r="D1425" s="2">
        <f t="shared" si="22"/>
        <v>50</v>
      </c>
      <c r="E1425" s="10" t="s">
        <v>7</v>
      </c>
      <c r="G1425" s="8">
        <v>45893</v>
      </c>
    </row>
    <row r="1426" spans="1:7" x14ac:dyDescent="0.3">
      <c r="A1426" t="s">
        <v>154</v>
      </c>
      <c r="B1426">
        <v>1</v>
      </c>
      <c r="C1426">
        <v>220</v>
      </c>
      <c r="D1426" s="2">
        <f t="shared" si="22"/>
        <v>220</v>
      </c>
      <c r="E1426" s="10" t="s">
        <v>7</v>
      </c>
      <c r="G1426" s="8">
        <v>45893</v>
      </c>
    </row>
    <row r="1427" spans="1:7" x14ac:dyDescent="0.3">
      <c r="A1427" t="s">
        <v>218</v>
      </c>
      <c r="B1427">
        <v>1</v>
      </c>
      <c r="C1427">
        <v>50</v>
      </c>
      <c r="D1427" s="2">
        <f>B1427*C1427</f>
        <v>50</v>
      </c>
      <c r="E1427" s="10" t="s">
        <v>7</v>
      </c>
      <c r="G1427" s="8">
        <v>45894</v>
      </c>
    </row>
    <row r="1428" spans="1:7" x14ac:dyDescent="0.3">
      <c r="A1428" t="s">
        <v>164</v>
      </c>
      <c r="B1428">
        <v>1</v>
      </c>
      <c r="C1428">
        <v>50</v>
      </c>
      <c r="D1428" s="2">
        <f t="shared" si="22"/>
        <v>50</v>
      </c>
      <c r="E1428" s="10" t="s">
        <v>7</v>
      </c>
      <c r="G1428" s="8">
        <v>45894</v>
      </c>
    </row>
    <row r="1429" spans="1:7" x14ac:dyDescent="0.3">
      <c r="A1429" t="s">
        <v>162</v>
      </c>
      <c r="B1429">
        <v>1</v>
      </c>
      <c r="C1429">
        <v>20</v>
      </c>
      <c r="D1429" s="2">
        <f t="shared" si="22"/>
        <v>20</v>
      </c>
      <c r="E1429" s="10" t="s">
        <v>7</v>
      </c>
      <c r="G1429" s="8">
        <v>45894</v>
      </c>
    </row>
    <row r="1430" spans="1:7" x14ac:dyDescent="0.3">
      <c r="A1430" t="s">
        <v>168</v>
      </c>
      <c r="B1430">
        <v>3</v>
      </c>
      <c r="C1430">
        <v>300</v>
      </c>
      <c r="D1430" s="2">
        <f t="shared" si="22"/>
        <v>900</v>
      </c>
      <c r="E1430" s="10" t="s">
        <v>7</v>
      </c>
      <c r="G1430" s="8">
        <v>45894</v>
      </c>
    </row>
    <row r="1431" spans="1:7" x14ac:dyDescent="0.3">
      <c r="A1431" t="s">
        <v>218</v>
      </c>
      <c r="B1431">
        <v>1</v>
      </c>
      <c r="C1431">
        <v>50</v>
      </c>
      <c r="D1431" s="2">
        <f>B1431*C1431</f>
        <v>50</v>
      </c>
      <c r="E1431" s="10" t="s">
        <v>7</v>
      </c>
      <c r="G1431" s="8">
        <v>45895</v>
      </c>
    </row>
    <row r="1432" spans="1:7" x14ac:dyDescent="0.3">
      <c r="A1432" t="s">
        <v>168</v>
      </c>
      <c r="B1432">
        <v>1</v>
      </c>
      <c r="C1432">
        <v>350</v>
      </c>
      <c r="D1432" s="2">
        <f>B1432*C1432</f>
        <v>350</v>
      </c>
      <c r="E1432" s="10" t="s">
        <v>7</v>
      </c>
      <c r="G1432" s="8">
        <v>45895</v>
      </c>
    </row>
    <row r="1433" spans="1:7" x14ac:dyDescent="0.3">
      <c r="A1433" t="s">
        <v>167</v>
      </c>
      <c r="B1433">
        <v>1</v>
      </c>
      <c r="C1433">
        <v>200</v>
      </c>
      <c r="D1433" s="2">
        <f t="shared" si="22"/>
        <v>200</v>
      </c>
      <c r="E1433" s="10" t="s">
        <v>7</v>
      </c>
      <c r="G1433" s="8">
        <v>45895</v>
      </c>
    </row>
    <row r="1434" spans="1:7" x14ac:dyDescent="0.3">
      <c r="A1434" t="s">
        <v>164</v>
      </c>
      <c r="B1434">
        <v>2</v>
      </c>
      <c r="C1434">
        <v>50</v>
      </c>
      <c r="D1434" s="2">
        <f t="shared" si="22"/>
        <v>100</v>
      </c>
      <c r="E1434" s="10" t="s">
        <v>7</v>
      </c>
      <c r="G1434" s="8">
        <v>45895</v>
      </c>
    </row>
    <row r="1435" spans="1:7" x14ac:dyDescent="0.3">
      <c r="A1435" t="s">
        <v>166</v>
      </c>
      <c r="B1435">
        <v>1</v>
      </c>
      <c r="C1435">
        <v>50</v>
      </c>
      <c r="D1435" s="2">
        <f t="shared" si="22"/>
        <v>50</v>
      </c>
      <c r="E1435" s="10" t="s">
        <v>7</v>
      </c>
      <c r="G1435" s="8">
        <v>45895</v>
      </c>
    </row>
    <row r="1436" spans="1:7" x14ac:dyDescent="0.3">
      <c r="A1436" t="s">
        <v>165</v>
      </c>
      <c r="B1436">
        <v>0.6</v>
      </c>
      <c r="C1436">
        <v>200</v>
      </c>
      <c r="D1436" s="2">
        <f t="shared" si="22"/>
        <v>120</v>
      </c>
      <c r="E1436" s="10" t="s">
        <v>7</v>
      </c>
      <c r="G1436" s="8">
        <v>45895</v>
      </c>
    </row>
    <row r="1437" spans="1:7" x14ac:dyDescent="0.3">
      <c r="A1437" t="s">
        <v>212</v>
      </c>
      <c r="B1437">
        <v>0.25</v>
      </c>
      <c r="C1437">
        <v>200</v>
      </c>
      <c r="D1437" s="2">
        <f t="shared" si="22"/>
        <v>50</v>
      </c>
      <c r="E1437" s="10" t="s">
        <v>7</v>
      </c>
      <c r="G1437" s="8">
        <v>45895</v>
      </c>
    </row>
    <row r="1438" spans="1:7" x14ac:dyDescent="0.3">
      <c r="A1438" t="s">
        <v>236</v>
      </c>
      <c r="B1438">
        <v>2</v>
      </c>
      <c r="C1438">
        <v>185</v>
      </c>
      <c r="D1438" s="2">
        <f>B1438*C1438</f>
        <v>370</v>
      </c>
      <c r="E1438" s="10" t="s">
        <v>7</v>
      </c>
      <c r="G1438" s="8">
        <v>45896</v>
      </c>
    </row>
    <row r="1439" spans="1:7" x14ac:dyDescent="0.3">
      <c r="A1439" t="s">
        <v>164</v>
      </c>
      <c r="B1439">
        <v>3</v>
      </c>
      <c r="C1439">
        <v>150</v>
      </c>
      <c r="D1439" s="2">
        <f t="shared" si="22"/>
        <v>450</v>
      </c>
      <c r="E1439" s="10" t="s">
        <v>7</v>
      </c>
      <c r="G1439" s="8">
        <v>45896</v>
      </c>
    </row>
    <row r="1440" spans="1:7" x14ac:dyDescent="0.3">
      <c r="A1440" t="s">
        <v>236</v>
      </c>
      <c r="B1440">
        <v>1</v>
      </c>
      <c r="C1440">
        <v>200</v>
      </c>
      <c r="D1440" s="2">
        <f>B1440*C1440</f>
        <v>200</v>
      </c>
      <c r="E1440" s="10" t="s">
        <v>7</v>
      </c>
      <c r="G1440" s="8">
        <v>45897</v>
      </c>
    </row>
    <row r="1441" spans="1:7" x14ac:dyDescent="0.3">
      <c r="A1441" t="s">
        <v>212</v>
      </c>
      <c r="B1441">
        <v>1</v>
      </c>
      <c r="C1441">
        <v>200</v>
      </c>
      <c r="D1441" s="2">
        <f t="shared" si="22"/>
        <v>200</v>
      </c>
      <c r="E1441" s="10" t="s">
        <v>7</v>
      </c>
      <c r="G1441" s="8">
        <v>45897</v>
      </c>
    </row>
    <row r="1442" spans="1:7" x14ac:dyDescent="0.3">
      <c r="A1442" t="s">
        <v>163</v>
      </c>
      <c r="B1442">
        <v>1</v>
      </c>
      <c r="C1442">
        <v>250</v>
      </c>
      <c r="D1442" s="2">
        <f t="shared" si="22"/>
        <v>250</v>
      </c>
      <c r="E1442" s="10" t="s">
        <v>7</v>
      </c>
      <c r="G1442" s="8">
        <v>45897</v>
      </c>
    </row>
    <row r="1443" spans="1:7" x14ac:dyDescent="0.3">
      <c r="A1443" t="s">
        <v>162</v>
      </c>
      <c r="B1443">
        <v>1</v>
      </c>
      <c r="C1443">
        <v>20</v>
      </c>
      <c r="D1443" s="2">
        <f t="shared" si="22"/>
        <v>20</v>
      </c>
      <c r="E1443" s="10" t="s">
        <v>7</v>
      </c>
      <c r="G1443" s="8">
        <v>45897</v>
      </c>
    </row>
    <row r="1444" spans="1:7" x14ac:dyDescent="0.3">
      <c r="A1444" t="s">
        <v>161</v>
      </c>
      <c r="B1444">
        <v>0.7</v>
      </c>
      <c r="C1444">
        <v>215</v>
      </c>
      <c r="D1444" s="2">
        <f t="shared" si="22"/>
        <v>150.5</v>
      </c>
      <c r="E1444" s="10" t="s">
        <v>7</v>
      </c>
      <c r="G1444" s="8">
        <v>45897</v>
      </c>
    </row>
    <row r="1445" spans="1:7" x14ac:dyDescent="0.3">
      <c r="A1445" t="s">
        <v>160</v>
      </c>
      <c r="B1445">
        <v>1.3</v>
      </c>
      <c r="C1445">
        <v>215</v>
      </c>
      <c r="D1445" s="2">
        <f t="shared" si="22"/>
        <v>279.5</v>
      </c>
      <c r="E1445" s="10" t="s">
        <v>7</v>
      </c>
      <c r="G1445" s="8">
        <v>45897</v>
      </c>
    </row>
    <row r="1446" spans="1:7" x14ac:dyDescent="0.3">
      <c r="A1446" t="s">
        <v>154</v>
      </c>
      <c r="B1446">
        <v>1</v>
      </c>
      <c r="C1446">
        <v>220</v>
      </c>
      <c r="D1446" s="2">
        <f t="shared" si="22"/>
        <v>220</v>
      </c>
      <c r="E1446" s="10" t="s">
        <v>7</v>
      </c>
      <c r="G1446" s="8">
        <v>45899</v>
      </c>
    </row>
    <row r="1447" spans="1:7" x14ac:dyDescent="0.3">
      <c r="A1447" t="s">
        <v>117</v>
      </c>
      <c r="B1447">
        <v>2</v>
      </c>
      <c r="C1447">
        <v>70</v>
      </c>
      <c r="D1447" s="2">
        <f t="shared" si="22"/>
        <v>140</v>
      </c>
      <c r="E1447" s="10" t="s">
        <v>7</v>
      </c>
      <c r="G1447" s="8">
        <v>45899</v>
      </c>
    </row>
    <row r="1448" spans="1:7" x14ac:dyDescent="0.3">
      <c r="A1448" t="s">
        <v>48</v>
      </c>
      <c r="B1448">
        <v>1</v>
      </c>
      <c r="C1448">
        <v>200</v>
      </c>
      <c r="D1448" s="2">
        <f t="shared" si="22"/>
        <v>200</v>
      </c>
      <c r="E1448" s="10" t="s">
        <v>7</v>
      </c>
      <c r="G1448" s="8">
        <v>45899</v>
      </c>
    </row>
    <row r="1449" spans="1:7" x14ac:dyDescent="0.3">
      <c r="A1449" t="s">
        <v>171</v>
      </c>
      <c r="B1449">
        <v>1</v>
      </c>
      <c r="C1449">
        <v>100</v>
      </c>
      <c r="D1449" s="2">
        <f>B1449*C1449</f>
        <v>100</v>
      </c>
      <c r="E1449" s="10" t="s">
        <v>7</v>
      </c>
      <c r="G1449" s="8">
        <v>45900</v>
      </c>
    </row>
    <row r="1450" spans="1:7" x14ac:dyDescent="0.3">
      <c r="A1450" t="s">
        <v>170</v>
      </c>
      <c r="B1450">
        <v>1</v>
      </c>
      <c r="C1450">
        <v>160</v>
      </c>
      <c r="D1450" s="2">
        <f>B1450*C1450</f>
        <v>160</v>
      </c>
      <c r="E1450" s="10" t="s">
        <v>7</v>
      </c>
      <c r="G1450" s="8">
        <v>45900</v>
      </c>
    </row>
    <row r="1451" spans="1:7" x14ac:dyDescent="0.3">
      <c r="A1451" t="s">
        <v>124</v>
      </c>
      <c r="B1451">
        <v>1</v>
      </c>
      <c r="C1451">
        <v>100</v>
      </c>
      <c r="D1451" s="2">
        <f t="shared" si="22"/>
        <v>100</v>
      </c>
      <c r="E1451" s="10" t="s">
        <v>7</v>
      </c>
      <c r="G1451" s="8">
        <v>45900</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PivotTable</vt:lpstr>
      <vt:lpstr>FarmGreen Sales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N. Faisal</cp:lastModifiedBy>
  <dcterms:created xsi:type="dcterms:W3CDTF">2025-06-02T12:32:12Z</dcterms:created>
  <dcterms:modified xsi:type="dcterms:W3CDTF">2025-10-28T14:05:22Z</dcterms:modified>
</cp:coreProperties>
</file>